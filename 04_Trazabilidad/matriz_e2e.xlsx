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_E2E" sheetId="1" state="visible" r:id="rId3"/>
    <sheet name="Diagnostico" sheetId="2" state="visible" r:id="rId4"/>
    <sheet name="Sincronizacion" sheetId="3" state="visible" r:id="rId5"/>
    <sheet name="Ejecucion_D4" sheetId="4" state="visible" r:id="rId6"/>
  </sheets>
  <definedNames>
    <definedName function="false" hidden="true" localSheetId="0" name="_xlnm._FilterDatabase" vbProcedure="false">Matriz_E2E!$A$8:$O$81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<sst xmlns="http://schemas.openxmlformats.org/spreadsheetml/2006/main" count="1303" uniqueCount="464">
  <si>
    <t xml:space="preserve">MATRIZ DE TRAZABILIDAD EXTREMO A EXTREMO — ERS SIMPA v2.0</t>
  </si>
  <si>
    <t xml:space="preserve">Cadena completa: Fuente → Requisito → Caso de uso → Clase/Módulo → Proceso DFD → Estado → Criterio BDD → Caso de prueba. Hacia atrás: columnas B y C. Hacia adelante: columnas G a M. La columna N declara el estado de la traza de cada fila.</t>
  </si>
  <si>
    <t xml:space="preserve">PROCEDENCIA. Columnas B–E, G y L: Tabla 69 del ERS (§5.4). Columna F: ficha del requisito en la §3.2. Columna H: §4 y cu_11_18.tex. Columna I: bloque funcional de la §3.2, con la correspondencia declarada en la Tabla del §8.6. Columna J: §8, diccionario de procesos. Columna K: diagramas de estados de la §4; se declara "No aplica" cuando el objeto del requisito carece de ciclo de vida modelado, que no es lo mismo que un vacío de trazabilidad. Columna M: CA-01 a CA-24 de las historias de usuario y CB-01 a CB-37 del Apéndice F.</t>
  </si>
  <si>
    <t xml:space="preserve">ALCANCE. Esta matriz traza extremo a extremo los 42 RF y los 18 requisitos de IA (RF-IA/RNF-IA), 60 de 60. Los 19 RNF y los 10 RD del catálogo se verifican por otra vía (criterios de aceptación y revisión directa contra el ERS, no fila a fila en esta matriz); de ellos, 6 RNF y 2 RD sí tienen fila aquí porque además intervienen en una cadena funcional. Este alcance fue una decisión de auditoría de PE5, no un vacío de trazabilidad. GRANULARIDAD: la matriz tiene 73 filas para 68 requisitos únicos, porque 5 requisitos (RF-04, RF-07, RF-08, RF-12 y RF-21) se trazan dos veces, una por cada evidencia de origen distinta que los sustenta; no son filas duplicadas por error, son el mismo requisito visto desde dos fuentes.</t>
  </si>
  <si>
    <t xml:space="preserve">N.º</t>
  </si>
  <si>
    <t xml:space="preserve">Interesado (fuente)</t>
  </si>
  <si>
    <t xml:space="preserve">Evidencia</t>
  </si>
  <si>
    <t xml:space="preserve">Requisito</t>
  </si>
  <si>
    <t xml:space="preserve">Tipo</t>
  </si>
  <si>
    <t xml:space="preserve">Prioridad</t>
  </si>
  <si>
    <t xml:space="preserve">Caso de uso</t>
  </si>
  <si>
    <t xml:space="preserve">Historia</t>
  </si>
  <si>
    <t xml:space="preserve">Clase / Módulo</t>
  </si>
  <si>
    <t xml:space="preserve">Proceso DFD</t>
  </si>
  <si>
    <t xml:space="preserve">Estado (máquina de estados)</t>
  </si>
  <si>
    <t xml:space="preserve">Prototipo</t>
  </si>
  <si>
    <t xml:space="preserve">Criterio BDD</t>
  </si>
  <si>
    <t xml:space="preserve">Caso de prueba</t>
  </si>
  <si>
    <t xml:space="preserve">Estado de la traza</t>
  </si>
  <si>
    <t xml:space="preserve">1</t>
  </si>
  <si>
    <t xml:space="preserve">Administrador</t>
  </si>
  <si>
    <t xml:space="preserve">EV-01, EV-09</t>
  </si>
  <si>
    <t xml:space="preserve">RF-01</t>
  </si>
  <si>
    <t xml:space="preserve">RF</t>
  </si>
  <si>
    <t xml:space="preserve">Must</t>
  </si>
  <si>
    <t xml:space="preserve">CU-11</t>
  </si>
  <si>
    <t xml:space="preserve">HU-01</t>
  </si>
  <si>
    <t xml:space="preserve">M-01</t>
  </si>
  <si>
    <t xml:space="preserve">P-01</t>
  </si>
  <si>
    <t xml:space="preserve">No aplica</t>
  </si>
  <si>
    <t xml:space="preserve">MU-01</t>
  </si>
  <si>
    <t xml:space="preserve">CA-01</t>
  </si>
  <si>
    <t xml:space="preserve">CP-01</t>
  </si>
  <si>
    <t xml:space="preserve">Completa</t>
  </si>
  <si>
    <t xml:space="preserve">2</t>
  </si>
  <si>
    <t xml:space="preserve">EV-01, EV-02</t>
  </si>
  <si>
    <t xml:space="preserve">RF-02</t>
  </si>
  <si>
    <t xml:space="preserve">CU-12</t>
  </si>
  <si>
    <t xml:space="preserve">HU-02</t>
  </si>
  <si>
    <t xml:space="preserve">MU-05</t>
  </si>
  <si>
    <t xml:space="preserve">CA-02</t>
  </si>
  <si>
    <t xml:space="preserve">CP-02</t>
  </si>
  <si>
    <t xml:space="preserve">3</t>
  </si>
  <si>
    <t xml:space="preserve">EV-01, EV-11</t>
  </si>
  <si>
    <t xml:space="preserve">RF-03</t>
  </si>
  <si>
    <t xml:space="preserve">CU-13</t>
  </si>
  <si>
    <t xml:space="preserve">HU-03</t>
  </si>
  <si>
    <t xml:space="preserve">—</t>
  </si>
  <si>
    <t xml:space="preserve">CA-03</t>
  </si>
  <si>
    <t xml:space="preserve">CP-03</t>
  </si>
  <si>
    <t xml:space="preserve">4</t>
  </si>
  <si>
    <t xml:space="preserve">Trabajador</t>
  </si>
  <si>
    <t xml:space="preserve">EV-05, EV-06</t>
  </si>
  <si>
    <t xml:space="preserve">RF-04</t>
  </si>
  <si>
    <t xml:space="preserve">CU-04</t>
  </si>
  <si>
    <t xml:space="preserve">HU-04</t>
  </si>
  <si>
    <t xml:space="preserve">M-03</t>
  </si>
  <si>
    <t xml:space="preserve">P-03</t>
  </si>
  <si>
    <t xml:space="preserve">MU-04</t>
  </si>
  <si>
    <t xml:space="preserve">CA-04</t>
  </si>
  <si>
    <t xml:space="preserve">CP-04</t>
  </si>
  <si>
    <t xml:space="preserve">5</t>
  </si>
  <si>
    <t xml:space="preserve">EV-11</t>
  </si>
  <si>
    <t xml:space="preserve">6</t>
  </si>
  <si>
    <t xml:space="preserve">Técnico fitosan.</t>
  </si>
  <si>
    <t xml:space="preserve">RF-05</t>
  </si>
  <si>
    <t xml:space="preserve">CU-15</t>
  </si>
  <si>
    <t xml:space="preserve">HU-05</t>
  </si>
  <si>
    <t xml:space="preserve">Alerta: Abierta → En verificación</t>
  </si>
  <si>
    <t xml:space="preserve">CA-05</t>
  </si>
  <si>
    <t xml:space="preserve">CP-05</t>
  </si>
  <si>
    <t xml:space="preserve">7</t>
  </si>
  <si>
    <t xml:space="preserve">EV-01</t>
  </si>
  <si>
    <t xml:space="preserve">RF-06</t>
  </si>
  <si>
    <t xml:space="preserve">Should</t>
  </si>
  <si>
    <t xml:space="preserve">Racimo: En desarrollo</t>
  </si>
  <si>
    <t xml:space="preserve">CB-01</t>
  </si>
  <si>
    <t xml:space="preserve">CP-06</t>
  </si>
  <si>
    <t xml:space="preserve">8</t>
  </si>
  <si>
    <t xml:space="preserve">Asistente admin.</t>
  </si>
  <si>
    <t xml:space="preserve">RF-07</t>
  </si>
  <si>
    <t xml:space="preserve">CU-01</t>
  </si>
  <si>
    <t xml:space="preserve">HU-06</t>
  </si>
  <si>
    <t xml:space="preserve">M-05</t>
  </si>
  <si>
    <t xml:space="preserve">P-05</t>
  </si>
  <si>
    <t xml:space="preserve">Alerta: Abierta → Notificada</t>
  </si>
  <si>
    <t xml:space="preserve">MU-03</t>
  </si>
  <si>
    <t xml:space="preserve">CA-06</t>
  </si>
  <si>
    <t xml:space="preserve">CP-07</t>
  </si>
  <si>
    <t xml:space="preserve">9</t>
  </si>
  <si>
    <t xml:space="preserve">EV-07</t>
  </si>
  <si>
    <t xml:space="preserve">10</t>
  </si>
  <si>
    <t xml:space="preserve">Asesor técnico</t>
  </si>
  <si>
    <t xml:space="preserve">EV-02</t>
  </si>
  <si>
    <t xml:space="preserve">RF-08</t>
  </si>
  <si>
    <t xml:space="preserve">CU-02</t>
  </si>
  <si>
    <t xml:space="preserve">HU-07</t>
  </si>
  <si>
    <t xml:space="preserve">CA-07</t>
  </si>
  <si>
    <t xml:space="preserve">CP-08</t>
  </si>
  <si>
    <t xml:space="preserve">11</t>
  </si>
  <si>
    <t xml:space="preserve">EV-04</t>
  </si>
  <si>
    <t xml:space="preserve">12</t>
  </si>
  <si>
    <t xml:space="preserve">RF-09</t>
  </si>
  <si>
    <t xml:space="preserve">Alerta: En verificación → Atendida</t>
  </si>
  <si>
    <t xml:space="preserve">CB-02</t>
  </si>
  <si>
    <t xml:space="preserve">CP-09</t>
  </si>
  <si>
    <t xml:space="preserve">13</t>
  </si>
  <si>
    <t xml:space="preserve">RF-10</t>
  </si>
  <si>
    <t xml:space="preserve">HU-08</t>
  </si>
  <si>
    <t xml:space="preserve">CA-08</t>
  </si>
  <si>
    <t xml:space="preserve">CP-10</t>
  </si>
  <si>
    <t xml:space="preserve">14</t>
  </si>
  <si>
    <t xml:space="preserve">RF-11</t>
  </si>
  <si>
    <t xml:space="preserve">CB-03</t>
  </si>
  <si>
    <t xml:space="preserve">CP-11</t>
  </si>
  <si>
    <t xml:space="preserve">15</t>
  </si>
  <si>
    <t xml:space="preserve">RF-12</t>
  </si>
  <si>
    <t xml:space="preserve">CU-16</t>
  </si>
  <si>
    <t xml:space="preserve">HU-09</t>
  </si>
  <si>
    <t xml:space="preserve">Alerta: (inicial) → Abierta</t>
  </si>
  <si>
    <t xml:space="preserve">MU-08</t>
  </si>
  <si>
    <t xml:space="preserve">CA-09</t>
  </si>
  <si>
    <t xml:space="preserve">CP-12</t>
  </si>
  <si>
    <t xml:space="preserve">16</t>
  </si>
  <si>
    <t xml:space="preserve">EV-12</t>
  </si>
  <si>
    <t xml:space="preserve">17</t>
  </si>
  <si>
    <t xml:space="preserve">Jefe polinización</t>
  </si>
  <si>
    <t xml:space="preserve">EV-03</t>
  </si>
  <si>
    <t xml:space="preserve">RF-13</t>
  </si>
  <si>
    <t xml:space="preserve">CU-03</t>
  </si>
  <si>
    <t xml:space="preserve">HU-10</t>
  </si>
  <si>
    <t xml:space="preserve">M-04</t>
  </si>
  <si>
    <t xml:space="preserve">P-04</t>
  </si>
  <si>
    <t xml:space="preserve">Racimo: Inflorescencia → Polinizado</t>
  </si>
  <si>
    <t xml:space="preserve">CA-10</t>
  </si>
  <si>
    <t xml:space="preserve">CP-13</t>
  </si>
  <si>
    <t xml:space="preserve">18</t>
  </si>
  <si>
    <t xml:space="preserve">RF-14</t>
  </si>
  <si>
    <t xml:space="preserve">HU-11</t>
  </si>
  <si>
    <t xml:space="preserve">MU-06</t>
  </si>
  <si>
    <t xml:space="preserve">CA-11</t>
  </si>
  <si>
    <t xml:space="preserve">CP-14</t>
  </si>
  <si>
    <t xml:space="preserve">19</t>
  </si>
  <si>
    <t xml:space="preserve">EV-01, EV-03</t>
  </si>
  <si>
    <t xml:space="preserve">RF-15</t>
  </si>
  <si>
    <t xml:space="preserve">CB-04</t>
  </si>
  <si>
    <t xml:space="preserve">CP-15</t>
  </si>
  <si>
    <t xml:space="preserve">20</t>
  </si>
  <si>
    <t xml:space="preserve">RF-16</t>
  </si>
  <si>
    <t xml:space="preserve">CU-05</t>
  </si>
  <si>
    <t xml:space="preserve">MU-07</t>
  </si>
  <si>
    <t xml:space="preserve">CB-05</t>
  </si>
  <si>
    <t xml:space="preserve">CP-16</t>
  </si>
  <si>
    <t xml:space="preserve">21</t>
  </si>
  <si>
    <t xml:space="preserve">RF-17</t>
  </si>
  <si>
    <t xml:space="preserve">CB-06</t>
  </si>
  <si>
    <t xml:space="preserve">CP-17</t>
  </si>
  <si>
    <t xml:space="preserve">22</t>
  </si>
  <si>
    <t xml:space="preserve">RF-18</t>
  </si>
  <si>
    <t xml:space="preserve">CU-17</t>
  </si>
  <si>
    <t xml:space="preserve">HU-12</t>
  </si>
  <si>
    <t xml:space="preserve">M-07</t>
  </si>
  <si>
    <t xml:space="preserve">P-07</t>
  </si>
  <si>
    <t xml:space="preserve">CA-12</t>
  </si>
  <si>
    <t xml:space="preserve">CP-18</t>
  </si>
  <si>
    <t xml:space="preserve">23</t>
  </si>
  <si>
    <t xml:space="preserve">RF-19</t>
  </si>
  <si>
    <t xml:space="preserve">HU-13</t>
  </si>
  <si>
    <t xml:space="preserve">CA-13</t>
  </si>
  <si>
    <t xml:space="preserve">CP-19</t>
  </si>
  <si>
    <t xml:space="preserve">24</t>
  </si>
  <si>
    <t xml:space="preserve">RF-20</t>
  </si>
  <si>
    <t xml:space="preserve">CB-07</t>
  </si>
  <si>
    <t xml:space="preserve">CP-20</t>
  </si>
  <si>
    <t xml:space="preserve">25</t>
  </si>
  <si>
    <t xml:space="preserve">Téc. extractora</t>
  </si>
  <si>
    <t xml:space="preserve">RF-21</t>
  </si>
  <si>
    <t xml:space="preserve">CU-06</t>
  </si>
  <si>
    <t xml:space="preserve">HU-14</t>
  </si>
  <si>
    <t xml:space="preserve">Racimo: En desarrollo → Maduro</t>
  </si>
  <si>
    <t xml:space="preserve">CA-14</t>
  </si>
  <si>
    <t xml:space="preserve">CP-21</t>
  </si>
  <si>
    <t xml:space="preserve">26</t>
  </si>
  <si>
    <t xml:space="preserve">EV-08</t>
  </si>
  <si>
    <t xml:space="preserve">27</t>
  </si>
  <si>
    <t xml:space="preserve">EV-04, EV-08</t>
  </si>
  <si>
    <t xml:space="preserve">RF-22</t>
  </si>
  <si>
    <t xml:space="preserve">HU-15</t>
  </si>
  <si>
    <t xml:space="preserve">M-06</t>
  </si>
  <si>
    <t xml:space="preserve">P-06</t>
  </si>
  <si>
    <t xml:space="preserve">Racimo: Maduro → Cosechado</t>
  </si>
  <si>
    <t xml:space="preserve">CA-15</t>
  </si>
  <si>
    <t xml:space="preserve">CP-22</t>
  </si>
  <si>
    <t xml:space="preserve">28</t>
  </si>
  <si>
    <t xml:space="preserve">RF-23</t>
  </si>
  <si>
    <t xml:space="preserve">CU-10</t>
  </si>
  <si>
    <t xml:space="preserve">Racimo: Despachado → Calificado</t>
  </si>
  <si>
    <t xml:space="preserve">CB-08</t>
  </si>
  <si>
    <t xml:space="preserve">CP-23</t>
  </si>
  <si>
    <t xml:space="preserve">29</t>
  </si>
  <si>
    <t xml:space="preserve">RF-24</t>
  </si>
  <si>
    <t xml:space="preserve">Racimo: Calificado</t>
  </si>
  <si>
    <t xml:space="preserve">CB-09</t>
  </si>
  <si>
    <t xml:space="preserve">CP-24</t>
  </si>
  <si>
    <t xml:space="preserve">30</t>
  </si>
  <si>
    <t xml:space="preserve">RF-25</t>
  </si>
  <si>
    <t xml:space="preserve">Racimo: Cosechado → Degradado</t>
  </si>
  <si>
    <t xml:space="preserve">CB-10</t>
  </si>
  <si>
    <t xml:space="preserve">CP-25</t>
  </si>
  <si>
    <t xml:space="preserve">31</t>
  </si>
  <si>
    <t xml:space="preserve">RF-26</t>
  </si>
  <si>
    <t xml:space="preserve">CU-07</t>
  </si>
  <si>
    <t xml:space="preserve">HU-16</t>
  </si>
  <si>
    <t xml:space="preserve">M-02</t>
  </si>
  <si>
    <t xml:space="preserve">P-02</t>
  </si>
  <si>
    <t xml:space="preserve">MU-02</t>
  </si>
  <si>
    <t xml:space="preserve">CA-16</t>
  </si>
  <si>
    <t xml:space="preserve">CP-26</t>
  </si>
  <si>
    <t xml:space="preserve">32</t>
  </si>
  <si>
    <t xml:space="preserve">RF-27</t>
  </si>
  <si>
    <t xml:space="preserve">CB-11</t>
  </si>
  <si>
    <t xml:space="preserve">CP-27</t>
  </si>
  <si>
    <t xml:space="preserve">33</t>
  </si>
  <si>
    <t xml:space="preserve">EV-05, EV-11</t>
  </si>
  <si>
    <t xml:space="preserve">RF-28</t>
  </si>
  <si>
    <t xml:space="preserve">HU-17</t>
  </si>
  <si>
    <t xml:space="preserve">CA-17</t>
  </si>
  <si>
    <t xml:space="preserve">CP-28</t>
  </si>
  <si>
    <t xml:space="preserve">34</t>
  </si>
  <si>
    <t xml:space="preserve">EV-06, EV-07</t>
  </si>
  <si>
    <t xml:space="preserve">RF-29</t>
  </si>
  <si>
    <t xml:space="preserve">CU-08</t>
  </si>
  <si>
    <t xml:space="preserve">CB-12</t>
  </si>
  <si>
    <t xml:space="preserve">CP-29</t>
  </si>
  <si>
    <t xml:space="preserve">35</t>
  </si>
  <si>
    <t xml:space="preserve">RF-30</t>
  </si>
  <si>
    <t xml:space="preserve">CU-09</t>
  </si>
  <si>
    <t xml:space="preserve">HU-18</t>
  </si>
  <si>
    <t xml:space="preserve">CA-18</t>
  </si>
  <si>
    <t xml:space="preserve">CP-30</t>
  </si>
  <si>
    <t xml:space="preserve">36</t>
  </si>
  <si>
    <t xml:space="preserve">RF-31</t>
  </si>
  <si>
    <t xml:space="preserve">CB-13</t>
  </si>
  <si>
    <t xml:space="preserve">CP-31</t>
  </si>
  <si>
    <t xml:space="preserve">37</t>
  </si>
  <si>
    <t xml:space="preserve">RF-32</t>
  </si>
  <si>
    <t xml:space="preserve">CB-14</t>
  </si>
  <si>
    <t xml:space="preserve">CP-32</t>
  </si>
  <si>
    <t xml:space="preserve">38</t>
  </si>
  <si>
    <t xml:space="preserve">RF-33</t>
  </si>
  <si>
    <t xml:space="preserve">Could</t>
  </si>
  <si>
    <t xml:space="preserve">Racimo: Cosechado → Despachado</t>
  </si>
  <si>
    <t xml:space="preserve">CB-15</t>
  </si>
  <si>
    <t xml:space="preserve">CP-33</t>
  </si>
  <si>
    <t xml:space="preserve">39</t>
  </si>
  <si>
    <t xml:space="preserve">RF-34</t>
  </si>
  <si>
    <t xml:space="preserve">CB-16</t>
  </si>
  <si>
    <t xml:space="preserve">CP-34</t>
  </si>
  <si>
    <t xml:space="preserve">40</t>
  </si>
  <si>
    <t xml:space="preserve">Jefe de campo</t>
  </si>
  <si>
    <t xml:space="preserve">EV-12, EV-05</t>
  </si>
  <si>
    <t xml:space="preserve">RF-35</t>
  </si>
  <si>
    <t xml:space="preserve">HU-19</t>
  </si>
  <si>
    <t xml:space="preserve">CA-19</t>
  </si>
  <si>
    <t xml:space="preserve">CP-35</t>
  </si>
  <si>
    <t xml:space="preserve">41</t>
  </si>
  <si>
    <t xml:space="preserve">RNF-01</t>
  </si>
  <si>
    <t xml:space="preserve">RNF</t>
  </si>
  <si>
    <t xml:space="preserve">P-05 (vía CU)</t>
  </si>
  <si>
    <t xml:space="preserve">CB-19</t>
  </si>
  <si>
    <t xml:space="preserve">CP-36</t>
  </si>
  <si>
    <t xml:space="preserve">42</t>
  </si>
  <si>
    <t xml:space="preserve">EV-07, EV-10</t>
  </si>
  <si>
    <t xml:space="preserve">RNF-11</t>
  </si>
  <si>
    <t xml:space="preserve">P-03 (vía CU)</t>
  </si>
  <si>
    <t xml:space="preserve">CB-29</t>
  </si>
  <si>
    <t xml:space="preserve">CP-37</t>
  </si>
  <si>
    <t xml:space="preserve">43</t>
  </si>
  <si>
    <t xml:space="preserve">RNF-05</t>
  </si>
  <si>
    <t xml:space="preserve">P-04 (vía CU)</t>
  </si>
  <si>
    <t xml:space="preserve">CB-23</t>
  </si>
  <si>
    <t xml:space="preserve">CP-38</t>
  </si>
  <si>
    <t xml:space="preserve">44</t>
  </si>
  <si>
    <t xml:space="preserve">RNF-08</t>
  </si>
  <si>
    <t xml:space="preserve">CB-26</t>
  </si>
  <si>
    <t xml:space="preserve">CP-39</t>
  </si>
  <si>
    <t xml:space="preserve">45</t>
  </si>
  <si>
    <t xml:space="preserve">RNF-14</t>
  </si>
  <si>
    <t xml:space="preserve">CB-32</t>
  </si>
  <si>
    <t xml:space="preserve">CP-40</t>
  </si>
  <si>
    <t xml:space="preserve">46</t>
  </si>
  <si>
    <t xml:space="preserve">EV-01, EV-07</t>
  </si>
  <si>
    <t xml:space="preserve">RNF-16</t>
  </si>
  <si>
    <t xml:space="preserve">CU-18</t>
  </si>
  <si>
    <t xml:space="preserve">CB-34</t>
  </si>
  <si>
    <t xml:space="preserve">CP-41</t>
  </si>
  <si>
    <t xml:space="preserve">47</t>
  </si>
  <si>
    <t xml:space="preserve">RD-10</t>
  </si>
  <si>
    <t xml:space="preserve">RD</t>
  </si>
  <si>
    <t xml:space="preserve">No aplica (restricción)</t>
  </si>
  <si>
    <t xml:space="preserve">CP-42</t>
  </si>
  <si>
    <t xml:space="preserve">48</t>
  </si>
  <si>
    <t xml:space="preserve">RD-07</t>
  </si>
  <si>
    <t xml:space="preserve">CP-43</t>
  </si>
  <si>
    <t xml:space="preserve">49</t>
  </si>
  <si>
    <t xml:space="preserve">EV-13</t>
  </si>
  <si>
    <t xml:space="preserve">RF-36</t>
  </si>
  <si>
    <t xml:space="preserve">HU-20</t>
  </si>
  <si>
    <t xml:space="preserve">CA-20</t>
  </si>
  <si>
    <t xml:space="preserve">CP-44</t>
  </si>
  <si>
    <t xml:space="preserve">50</t>
  </si>
  <si>
    <t xml:space="preserve">EV-13, EV-11</t>
  </si>
  <si>
    <t xml:space="preserve">RF-37</t>
  </si>
  <si>
    <t xml:space="preserve">HU-21</t>
  </si>
  <si>
    <t xml:space="preserve">CA-21</t>
  </si>
  <si>
    <t xml:space="preserve">CP-45</t>
  </si>
  <si>
    <t xml:space="preserve">51</t>
  </si>
  <si>
    <t xml:space="preserve">RF-38</t>
  </si>
  <si>
    <t xml:space="preserve">CB-17</t>
  </si>
  <si>
    <t xml:space="preserve">CP-46</t>
  </si>
  <si>
    <t xml:space="preserve">52</t>
  </si>
  <si>
    <t xml:space="preserve">RF-39</t>
  </si>
  <si>
    <t xml:space="preserve">CB-18</t>
  </si>
  <si>
    <t xml:space="preserve">CP-47</t>
  </si>
  <si>
    <t xml:space="preserve">53</t>
  </si>
  <si>
    <t xml:space="preserve">RL-04</t>
  </si>
  <si>
    <t xml:space="preserve">RF-40</t>
  </si>
  <si>
    <t xml:space="preserve">HU-22</t>
  </si>
  <si>
    <t xml:space="preserve">CA-22</t>
  </si>
  <si>
    <t xml:space="preserve">CP-53</t>
  </si>
  <si>
    <t xml:space="preserve">54</t>
  </si>
  <si>
    <t xml:space="preserve">RL-05</t>
  </si>
  <si>
    <t xml:space="preserve">RF-41</t>
  </si>
  <si>
    <t xml:space="preserve">HU-23</t>
  </si>
  <si>
    <t xml:space="preserve">CA-23</t>
  </si>
  <si>
    <t xml:space="preserve">CP-54</t>
  </si>
  <si>
    <t xml:space="preserve">55</t>
  </si>
  <si>
    <t xml:space="preserve">RL-06</t>
  </si>
  <si>
    <t xml:space="preserve">RF-42</t>
  </si>
  <si>
    <t xml:space="preserve">HU-24</t>
  </si>
  <si>
    <t xml:space="preserve">CA-24</t>
  </si>
  <si>
    <t xml:space="preserve">CP-55</t>
  </si>
  <si>
    <t xml:space="preserve">Asist. admin.</t>
  </si>
  <si>
    <t xml:space="preserve">RF-IA-01</t>
  </si>
  <si>
    <t xml:space="preserve">RF-IA</t>
  </si>
  <si>
    <t xml:space="preserve">A: Abierta $\to$ Notificada</t>
  </si>
  <si>
    <t xml:space="preserve">en ficha</t>
  </si>
  <si>
    <t xml:space="preserve">CP-56</t>
  </si>
  <si>
    <t xml:space="preserve">RF-IA-02</t>
  </si>
  <si>
    <t xml:space="preserve">CP-57</t>
  </si>
  <si>
    <t xml:space="preserve">Admin.</t>
  </si>
  <si>
    <t xml:space="preserve">RNF-15</t>
  </si>
  <si>
    <t xml:space="preserve">RF-IA-03</t>
  </si>
  <si>
    <t xml:space="preserve">A: $\to$ Descartada</t>
  </si>
  <si>
    <t xml:space="preserve">CP-58</t>
  </si>
  <si>
    <t xml:space="preserve">Téc. extr.</t>
  </si>
  <si>
    <t xml:space="preserve">RF-IA-04</t>
  </si>
  <si>
    <t xml:space="preserve">R: En desarrollo $\to$ Maduro</t>
  </si>
  <si>
    <t xml:space="preserve">CP-59</t>
  </si>
  <si>
    <t xml:space="preserve">RF-IA-05</t>
  </si>
  <si>
    <t xml:space="preserve">R: Maduro $\to$ Cosechado</t>
  </si>
  <si>
    <t xml:space="preserve">CP-60</t>
  </si>
  <si>
    <t xml:space="preserve">RF-IA-06</t>
  </si>
  <si>
    <t xml:space="preserve">R: Cosechado $\to$ Despachado</t>
  </si>
  <si>
    <t xml:space="preserve">CP-61</t>
  </si>
  <si>
    <t xml:space="preserve">RNF-IA-01</t>
  </si>
  <si>
    <t xml:space="preserve">RNF-IA</t>
  </si>
  <si>
    <t xml:space="preserve">CP-62</t>
  </si>
  <si>
    <t xml:space="preserve">RNF-02</t>
  </si>
  <si>
    <t xml:space="preserve">RNF-IA-02</t>
  </si>
  <si>
    <t xml:space="preserve">CP-63</t>
  </si>
  <si>
    <t xml:space="preserve">RNF-04</t>
  </si>
  <si>
    <t xml:space="preserve">RNF-IA-03</t>
  </si>
  <si>
    <t xml:space="preserve">CP-64</t>
  </si>
  <si>
    <t xml:space="preserve">RD-01</t>
  </si>
  <si>
    <t xml:space="preserve">RNF-IA-04</t>
  </si>
  <si>
    <t xml:space="preserve">CP-65</t>
  </si>
  <si>
    <t xml:space="preserve">RNF-IA-05</t>
  </si>
  <si>
    <t xml:space="preserve">CP-66</t>
  </si>
  <si>
    <t xml:space="preserve">RNF-IA-06</t>
  </si>
  <si>
    <t xml:space="preserve">CP-67</t>
  </si>
  <si>
    <t xml:space="preserve">RNF-IA-07</t>
  </si>
  <si>
    <t xml:space="preserve">P-06 (vía CU)</t>
  </si>
  <si>
    <t xml:space="preserve">CP-68</t>
  </si>
  <si>
    <t xml:space="preserve">RNF-IA-08</t>
  </si>
  <si>
    <t xml:space="preserve">CP-69</t>
  </si>
  <si>
    <t xml:space="preserve">RNF-IA-09</t>
  </si>
  <si>
    <t xml:space="preserve">CP-70</t>
  </si>
  <si>
    <t xml:space="preserve">RNF-IA-10</t>
  </si>
  <si>
    <t xml:space="preserve">CP-71</t>
  </si>
  <si>
    <t xml:space="preserve">RNF-18</t>
  </si>
  <si>
    <t xml:space="preserve">RNF-IA-11</t>
  </si>
  <si>
    <t xml:space="preserve">CP-72</t>
  </si>
  <si>
    <t xml:space="preserve">RNF-IA-12</t>
  </si>
  <si>
    <t xml:space="preserve">CP-73</t>
  </si>
  <si>
    <t xml:space="preserve">DIAGNÓSTICO DE LA TRAZABILIDAD</t>
  </si>
  <si>
    <t xml:space="preserve">Calculado con fórmulas sobre la hoja Matriz_E2E. Los elementos huérfanos se reportan de forma explícita: un vacío declarado es un dato de la auditoría, no un defecto oculto.</t>
  </si>
  <si>
    <t xml:space="preserve">Filas de la matriz</t>
  </si>
  <si>
    <t xml:space="preserve">Trazas completas</t>
  </si>
  <si>
    <t xml:space="preserve">Trazas parciales</t>
  </si>
  <si>
    <t xml:space="preserve">Trazas huérfanas</t>
  </si>
  <si>
    <t xml:space="preserve">% de trazas completas</t>
  </si>
  <si>
    <t xml:space="preserve">Filas con estado modelado</t>
  </si>
  <si>
    <t xml:space="preserve">Filas con criterio BDD</t>
  </si>
  <si>
    <t xml:space="preserve">Filas sin prototipo</t>
  </si>
  <si>
    <t xml:space="preserve">ELEMENTOS HUÉRFANOS Y VACÍOS DECLARADOS</t>
  </si>
  <si>
    <t xml:space="preserve">Elemento</t>
  </si>
  <si>
    <t xml:space="preserve">Eslabón ausente</t>
  </si>
  <si>
    <t xml:space="preserve">Justificación o acción</t>
  </si>
  <si>
    <t xml:space="preserve">RF-03, RF-27, RF-34</t>
  </si>
  <si>
    <t xml:space="preserve">Prototipo de interfaz</t>
  </si>
  <si>
    <t xml:space="preserve">Los tres son de prioridad distinta de Must, por lo que el vacío no incumple la exigencia de prototipar las pantallas Must. Se declara y se difiere a la Entrega 4.</t>
  </si>
  <si>
    <t xml:space="preserve">RD-07, RD-10</t>
  </si>
  <si>
    <t xml:space="preserve">Criterio de aceptación BDD</t>
  </si>
  <si>
    <t xml:space="preserve">Las restricciones de diseño no describen un comportamiento del sistema sino una condición impuesta sobre su construcción, de modo que no admiten criterio de aceptación en el mismo sentido. Se declaran como "No aplica (restricción)" y quedan fuera del denominador de la métrica M3, que audita requisitos funcionales y no funcionales.</t>
  </si>
  <si>
    <t xml:space="preserve">RNF y RD</t>
  </si>
  <si>
    <t xml:space="preserve">Proceso DFD propio</t>
  </si>
  <si>
    <t xml:space="preserve">Los requisitos no funcionales y las restricciones no realizan un proceso: lo condicionan. Se les asigna el proceso mayoritario de los RF que comparten su caso de uso, y la columna lo marca con "(vía CU)" para que la derivación sea visible y no se confunda con una asignación directa.</t>
  </si>
  <si>
    <t xml:space="preserve">28 filas</t>
  </si>
  <si>
    <t xml:space="preserve">Estado de máquina de estados</t>
  </si>
  <si>
    <t xml:space="preserve">El ERS modela el ciclo de vida de dos entidades: el racimo y la alerta. Los requisitos cuyo objeto no es ninguna de las dos ---gestión de personal, planificación, reportes--- no tienen estado asociado, y la columna declara "No aplica". No es un vacío de trazabilidad sino la ausencia de un eslabón que no corresponde.</t>
  </si>
  <si>
    <t xml:space="preserve">SINCRONIZACIÓN ENTRE EL ERS Y EL TABLERO CASE</t>
  </si>
  <si>
    <t xml:space="preserve">Contraste cuantitativo entre lo especificado en el ERS y lo cargado en el tablero CASE. La columna «Inicial» recoge el estado al comenzar la Unidad V; la columna «Actual», el estado tras la sincronización del 21/08/2026 verificada sobre backlog_export.csv.</t>
  </si>
  <si>
    <t xml:space="preserve">En el ERS</t>
  </si>
  <si>
    <t xml:space="preserve">Tablero
inicial</t>
  </si>
  <si>
    <t xml:space="preserve">Divergencia
inicial</t>
  </si>
  <si>
    <t xml:space="preserve">Tablero
actual</t>
  </si>
  <si>
    <t xml:space="preserve">Divergencia
actual</t>
  </si>
  <si>
    <t xml:space="preserve">Estado</t>
  </si>
  <si>
    <t xml:space="preserve">Epics / bloques funcionales</t>
  </si>
  <si>
    <t xml:space="preserve">Se añadieron los dos epics de componentes de IA y el de requisitos no funcionales.</t>
  </si>
  <si>
    <t xml:space="preserve">Stories / requisitos</t>
  </si>
  <si>
    <t xml:space="preserve">Se cargaron RF-40 a RF-42 (RFC-03), RF-IA-01 a RF-IA-06, RNF-IA-01 a RNF-IA-12 y RNF-01 a RNF-19.</t>
  </si>
  <si>
    <t xml:space="preserve">Sub-tasks / criterios de aceptación</t>
  </si>
  <si>
    <t xml:space="preserve">Se cargaron los 37 criterios CB del Apéndice F y los 24 criterios CA. Las 25 sub-tareas restantes son tareas de verificación creadas por el equipo, no previstas en el ERS.</t>
  </si>
  <si>
    <t xml:space="preserve">Historias de usuario</t>
  </si>
  <si>
    <t xml:space="preserve">Se cargaron HU-20 a HU-24, incorporadas por RFC-01 y RFC-03.</t>
  </si>
  <si>
    <t xml:space="preserve">Filas de trazabilidad</t>
  </si>
  <si>
    <t xml:space="preserve">Reexportadas tras las altas anteriores; la matriz y el tablero coinciden.</t>
  </si>
  <si>
    <t xml:space="preserve">Índice declarado en la PE4 (histórico)</t>
  </si>
  <si>
    <t xml:space="preserve">Cifra publicada al comenzar la Unidad V. Se calculó sobre un denominador incompleto: no contabilizaba los 19 RNF ni los 12 RNF-IA como elementos que el ERS especifica, porque en ese momento no se había detectado que faltaban del tablero. Se conserva por trazabilidad con el informe.</t>
  </si>
  <si>
    <t xml:space="preserve">Índice inicial recalculado</t>
  </si>
  <si>
    <t xml:space="preserve">Mismo estado del tablero, denominador completo. El punto de partida real era peor que el declarado: el hallazgo de que los RNF no estaban cargados amplió el denominador de 48 a 79 stories.</t>
  </si>
  <si>
    <t xml:space="preserve">Índice de sincronización actual</t>
  </si>
  <si>
    <t xml:space="preserve">Estado tras la sincronización. Verificado sobre la exportación del tablero: todo elemento especificado en el ERS tiene su correspondencia en el tablero CASE.</t>
  </si>
  <si>
    <t xml:space="preserve">EJECUCIÓN REAL DE LOS 24 RF "MUST" (D4) — CONTRASTE CON LA TRAZABILIDAD DOCUMENTAL</t>
  </si>
  <si>
    <t xml:space="preserve">La hoja "Matriz_E2E" audita la trazabilidad DOCUMENTAL (¿existe la cadena fuente→requisito→caso de uso→módulo→proceso→prototipo→criterio→caso de prueba?). Que una fila diga "Completa" no significa que ese requisito se haya probado y funcione: solo dice que la documentación está enlazada. Esta hoja cruza esas 24 filas "Must" con la EJECUCIÓN real sobre el prototipo desplegado (tareas E1 y D4, 21/09/2026) para que ambas lecturas no se confundan.</t>
  </si>
  <si>
    <t xml:space="preserve">Caso de prueba (Matriz_E2E)</t>
  </si>
  <si>
    <t xml:space="preserve">Estado de la traza (documental)</t>
  </si>
  <si>
    <t xml:space="preserve">Resultado de la ejecución real</t>
  </si>
  <si>
    <t xml:space="preserve">Fuente</t>
  </si>
  <si>
    <t xml:space="preserve">Coincide traza vs. ejecución</t>
  </si>
  <si>
    <t xml:space="preserve">Sí</t>
  </si>
  <si>
    <t xml:space="preserve">E1</t>
  </si>
  <si>
    <t xml:space="preserve">D4</t>
  </si>
  <si>
    <t xml:space="preserve">No: no existe pantalla propia, es el mismo análisis de imagen de RF-07/RF-08</t>
  </si>
  <si>
    <t xml:space="preserve">Brecha: documentado pero no funciona en el prototipo</t>
  </si>
  <si>
    <t xml:space="preserve">Parcial: solo 2 variedades predefinidas, sin texto libre</t>
  </si>
  <si>
    <t xml:space="preserve">No: no existe boton ni opcion para reportar incidencia con foto y georreferencia</t>
  </si>
  <si>
    <t xml:space="preserve">Parcial (RF-42): supresión visible, pero el nombre permanece en localStorage</t>
  </si>
  <si>
    <t xml:space="preserve">Resumen:</t>
  </si>
  <si>
    <t xml:space="preserve">24 de 24 RF Must tienen traza documental "Completa" en Matriz_E2E.</t>
  </si>
  <si>
    <t xml:space="preserve">De esos 24: 20 funcionan exactamente como se documentó; 4 no coinciden del todo con lo documentado, y quedan marcadas como "Brecha" — 2 parciales (RF-10: sin texto libre de variedad; RF-42: el nombre suprimido permanece en localStorage) y 2 sin la función descrita (RF-05: no existe pantalla propia; RF-30: no existe el botón de incidencia con foto).</t>
  </si>
  <si>
    <t xml:space="preserve">Ver el detalle de cada prueba en 05_MVP/evidencia_e2e/registro_prueba_e2e.md (E1) y 04_Trazabilidad/D4_casos_prueba_RF_Must.md (D4).</t>
  </si>
</sst>
</file>

<file path=xl/styles.xml><?xml version="1.0" encoding="utf-8"?>
<styleSheet xmlns="http://schemas.openxmlformats.org/spreadsheetml/2006/main">
  <numFmts count="3">
    <numFmt numFmtId="164" formatCode="General"/>
    <numFmt numFmtId="165" formatCode="General"/>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13"/>
      <name val="Times New Roman"/>
      <family val="0"/>
      <charset val="1"/>
    </font>
    <font>
      <i val="true"/>
      <sz val="9"/>
      <name val="Times New Roman"/>
      <family val="0"/>
      <charset val="1"/>
    </font>
    <font>
      <i val="true"/>
      <sz val="8"/>
      <name val="Times New Roman"/>
      <family val="0"/>
      <charset val="1"/>
    </font>
    <font>
      <b val="true"/>
      <sz val="10"/>
      <name val="Times New Roman"/>
      <family val="0"/>
      <charset val="1"/>
    </font>
    <font>
      <sz val="9"/>
      <name val="Times New Roman"/>
      <family val="0"/>
      <charset val="1"/>
    </font>
    <font>
      <b val="true"/>
      <sz val="12"/>
      <name val="Times New Roman"/>
      <family val="0"/>
      <charset val="1"/>
    </font>
    <font>
      <sz val="10"/>
      <name val="Times New Roman"/>
      <family val="0"/>
      <charset val="1"/>
    </font>
    <font>
      <b val="true"/>
      <sz val="11"/>
      <name val="Times New Roman"/>
      <family val="0"/>
      <charset val="1"/>
    </font>
    <font>
      <sz val="8"/>
      <name val="Times New Roman"/>
      <family val="0"/>
      <charset val="1"/>
    </font>
    <font>
      <b val="true"/>
      <sz val="13"/>
      <color rgb="FF14532D"/>
      <name val="Cambria"/>
      <family val="0"/>
      <charset val="1"/>
    </font>
    <font>
      <i val="true"/>
      <sz val="9"/>
      <color rgb="FF52525B"/>
      <name val="Cambria"/>
      <family val="0"/>
      <charset val="1"/>
    </font>
    <font>
      <b val="true"/>
      <sz val="11"/>
      <color rgb="FFFFFFFF"/>
      <name val="Cambria"/>
      <family val="0"/>
      <charset val="1"/>
    </font>
    <font>
      <b val="true"/>
      <sz val="11"/>
      <name val="Cambria"/>
      <family val="0"/>
      <charset val="1"/>
    </font>
  </fonts>
  <fills count="8">
    <fill>
      <patternFill patternType="none"/>
    </fill>
    <fill>
      <patternFill patternType="gray125"/>
    </fill>
    <fill>
      <patternFill patternType="solid">
        <fgColor rgb="FFD9D9D9"/>
        <bgColor rgb="FFE2EFDA"/>
      </patternFill>
    </fill>
    <fill>
      <patternFill patternType="solid">
        <fgColor rgb="FFE2EFDA"/>
        <bgColor rgb="FFE7F3E7"/>
      </patternFill>
    </fill>
    <fill>
      <patternFill patternType="solid">
        <fgColor rgb="FFEAF1F8"/>
        <bgColor rgb="FFE7F3E7"/>
      </patternFill>
    </fill>
    <fill>
      <patternFill patternType="solid">
        <fgColor rgb="FFE7F3E7"/>
        <bgColor rgb="FFE2EFDA"/>
      </patternFill>
    </fill>
    <fill>
      <patternFill patternType="solid">
        <fgColor rgb="FF166534"/>
        <bgColor rgb="FF14532D"/>
      </patternFill>
    </fill>
    <fill>
      <patternFill patternType="solid">
        <fgColor rgb="FFFEF2F2"/>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6" fontId="7"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D9D9"/>
          <bgColor rgb="FF000000"/>
        </patternFill>
      </fill>
    </dxf>
    <dxf>
      <fill>
        <patternFill patternType="solid">
          <bgColor rgb="FF000000"/>
        </patternFill>
      </fill>
    </dxf>
    <dxf>
      <fill>
        <patternFill patternType="solid">
          <fgColor rgb="FFEAF1F8"/>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993366"/>
      <rgbColor rgb="FFFEF2F2"/>
      <rgbColor rgb="FFE7F3E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8"/>
      <rgbColor rgb="FFE2EFDA"/>
      <rgbColor rgb="FFFFFF99"/>
      <rgbColor rgb="FF99CCFF"/>
      <rgbColor rgb="FFFF99CC"/>
      <rgbColor rgb="FFCC99FF"/>
      <rgbColor rgb="FFFFCC99"/>
      <rgbColor rgb="FF3366FF"/>
      <rgbColor rgb="FF33CCCC"/>
      <rgbColor rgb="FF99CC00"/>
      <rgbColor rgb="FFFFCC00"/>
      <rgbColor rgb="FFFF9900"/>
      <rgbColor rgb="FFFF6600"/>
      <rgbColor rgb="FF52525B"/>
      <rgbColor rgb="FF969696"/>
      <rgbColor rgb="FF003366"/>
      <rgbColor rgb="FF339966"/>
      <rgbColor rgb="FF003300"/>
      <rgbColor rgb="FF333300"/>
      <rgbColor rgb="FF993300"/>
      <rgbColor rgb="FF993366"/>
      <rgbColor rgb="FF333399"/>
      <rgbColor rgb="FF1453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1"/>
  <sheetViews>
    <sheetView showFormulas="false" showGridLines="true" showRowColHeaders="true" showZeros="true" rightToLeft="false" tabSelected="true" showOutlineSymbols="true" defaultGridColor="true" view="normal" topLeftCell="A9"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13"/>
    <col collapsed="false" customWidth="true" hidden="false" outlineLevel="0" max="4" min="4" style="1" width="10"/>
    <col collapsed="false" customWidth="true" hidden="false" outlineLevel="0" max="5" min="5" style="1" width="6"/>
    <col collapsed="false" customWidth="true" hidden="false" outlineLevel="0" max="8" min="6" style="1" width="10"/>
    <col collapsed="false" customWidth="true" hidden="false" outlineLevel="0" max="9" min="9" style="1" width="13"/>
    <col collapsed="false" customWidth="true" hidden="false" outlineLevel="0" max="10" min="10" style="1" width="14"/>
    <col collapsed="false" customWidth="true" hidden="false" outlineLevel="0" max="11" min="11" style="1" width="26"/>
    <col collapsed="false" customWidth="true" hidden="false" outlineLevel="0" max="12" min="12" style="1" width="10"/>
    <col collapsed="false" customWidth="true" hidden="false" outlineLevel="0" max="13" min="13" style="1" width="11"/>
    <col collapsed="false" customWidth="true" hidden="false" outlineLevel="0" max="14" min="14" style="1" width="12"/>
    <col collapsed="false" customWidth="true" hidden="false" outlineLevel="0" max="15" min="15" style="1" width="14"/>
  </cols>
  <sheetData>
    <row r="1" customFormat="false" ht="15.75" hidden="false" customHeight="true" outlineLevel="0" collapsed="false">
      <c r="A1" s="2" t="s">
        <v>0</v>
      </c>
    </row>
    <row r="2" customFormat="false" ht="15" hidden="false" customHeight="true" outlineLevel="0" collapsed="false">
      <c r="A2" s="3" t="s">
        <v>1</v>
      </c>
    </row>
    <row r="3" customFormat="false" ht="691.5" hidden="false" customHeight="true" outlineLevel="0" collapsed="false">
      <c r="A3" s="4" t="s">
        <v>2</v>
      </c>
      <c r="B3" s="5"/>
      <c r="C3" s="5"/>
      <c r="D3" s="5"/>
      <c r="E3" s="5"/>
      <c r="F3" s="5"/>
      <c r="G3" s="5"/>
      <c r="H3" s="5"/>
      <c r="I3" s="5"/>
      <c r="J3" s="5"/>
      <c r="K3" s="5"/>
      <c r="L3" s="5"/>
      <c r="M3" s="5"/>
      <c r="N3" s="5"/>
    </row>
    <row r="4" customFormat="false" ht="15" hidden="false" customHeight="true" outlineLevel="0" collapsed="false">
      <c r="A4" s="1" t="s">
        <v>3</v>
      </c>
      <c r="B4" s="5"/>
      <c r="C4" s="5"/>
      <c r="D4" s="5"/>
      <c r="E4" s="5"/>
      <c r="F4" s="5"/>
      <c r="G4" s="5"/>
      <c r="H4" s="5"/>
      <c r="I4" s="5"/>
      <c r="J4" s="5"/>
      <c r="K4" s="5"/>
      <c r="L4" s="5"/>
      <c r="M4" s="5"/>
      <c r="N4" s="5"/>
    </row>
    <row r="5" customFormat="false" ht="15" hidden="false" customHeight="true" outlineLevel="0" collapsed="false">
      <c r="B5" s="5"/>
      <c r="C5" s="5"/>
      <c r="D5" s="5"/>
      <c r="E5" s="5"/>
      <c r="F5" s="5"/>
      <c r="G5" s="5"/>
      <c r="H5" s="5"/>
      <c r="I5" s="5"/>
      <c r="J5" s="5"/>
      <c r="K5" s="5"/>
      <c r="L5" s="5"/>
      <c r="M5" s="5"/>
      <c r="N5" s="5"/>
    </row>
    <row r="8" customFormat="false" ht="23.25" hidden="false" customHeight="true" outlineLevel="0" collapsed="false">
      <c r="A8" s="6" t="s">
        <v>4</v>
      </c>
      <c r="B8" s="6" t="s">
        <v>5</v>
      </c>
      <c r="C8" s="6" t="s">
        <v>6</v>
      </c>
      <c r="D8" s="6" t="s">
        <v>7</v>
      </c>
      <c r="E8" s="6" t="s">
        <v>8</v>
      </c>
      <c r="F8" s="6" t="s">
        <v>9</v>
      </c>
      <c r="G8" s="6" t="s">
        <v>10</v>
      </c>
      <c r="H8" s="6" t="s">
        <v>11</v>
      </c>
      <c r="I8" s="6" t="s">
        <v>12</v>
      </c>
      <c r="J8" s="6" t="s">
        <v>13</v>
      </c>
      <c r="K8" s="6" t="s">
        <v>14</v>
      </c>
      <c r="L8" s="6" t="s">
        <v>15</v>
      </c>
      <c r="M8" s="6" t="s">
        <v>16</v>
      </c>
      <c r="N8" s="6" t="s">
        <v>17</v>
      </c>
      <c r="O8" s="6" t="s">
        <v>18</v>
      </c>
    </row>
    <row r="9" customFormat="false" ht="15" hidden="false" customHeight="true" outlineLevel="0" collapsed="false">
      <c r="A9" s="7" t="s">
        <v>19</v>
      </c>
      <c r="B9" s="8" t="s">
        <v>20</v>
      </c>
      <c r="C9" s="8" t="s">
        <v>21</v>
      </c>
      <c r="D9" s="7" t="s">
        <v>22</v>
      </c>
      <c r="E9" s="7" t="s">
        <v>23</v>
      </c>
      <c r="F9" s="7" t="s">
        <v>24</v>
      </c>
      <c r="G9" s="7" t="s">
        <v>25</v>
      </c>
      <c r="H9" s="7" t="s">
        <v>26</v>
      </c>
      <c r="I9" s="9" t="s">
        <v>27</v>
      </c>
      <c r="J9" s="10" t="s">
        <v>28</v>
      </c>
      <c r="K9" s="9" t="s">
        <v>29</v>
      </c>
      <c r="L9" s="7" t="s">
        <v>30</v>
      </c>
      <c r="M9" s="10" t="s">
        <v>31</v>
      </c>
      <c r="N9" s="10" t="s">
        <v>32</v>
      </c>
      <c r="O9" s="10" t="s">
        <v>33</v>
      </c>
    </row>
    <row r="10" customFormat="false" ht="15" hidden="false" customHeight="true" outlineLevel="0" collapsed="false">
      <c r="A10" s="7" t="s">
        <v>34</v>
      </c>
      <c r="B10" s="8" t="s">
        <v>20</v>
      </c>
      <c r="C10" s="8" t="s">
        <v>35</v>
      </c>
      <c r="D10" s="7" t="s">
        <v>36</v>
      </c>
      <c r="E10" s="7" t="s">
        <v>23</v>
      </c>
      <c r="F10" s="7" t="s">
        <v>24</v>
      </c>
      <c r="G10" s="7" t="s">
        <v>37</v>
      </c>
      <c r="H10" s="7" t="s">
        <v>38</v>
      </c>
      <c r="I10" s="9" t="s">
        <v>27</v>
      </c>
      <c r="J10" s="10" t="s">
        <v>28</v>
      </c>
      <c r="K10" s="9" t="s">
        <v>29</v>
      </c>
      <c r="L10" s="7" t="s">
        <v>39</v>
      </c>
      <c r="M10" s="10" t="s">
        <v>40</v>
      </c>
      <c r="N10" s="10" t="s">
        <v>41</v>
      </c>
      <c r="O10" s="10" t="s">
        <v>33</v>
      </c>
    </row>
    <row r="11" customFormat="false" ht="15" hidden="false" customHeight="true" outlineLevel="0" collapsed="false">
      <c r="A11" s="7" t="s">
        <v>42</v>
      </c>
      <c r="B11" s="8" t="s">
        <v>20</v>
      </c>
      <c r="C11" s="8" t="s">
        <v>43</v>
      </c>
      <c r="D11" s="7" t="s">
        <v>44</v>
      </c>
      <c r="E11" s="7" t="s">
        <v>23</v>
      </c>
      <c r="F11" s="7" t="s">
        <v>24</v>
      </c>
      <c r="G11" s="7" t="s">
        <v>45</v>
      </c>
      <c r="H11" s="7" t="s">
        <v>46</v>
      </c>
      <c r="I11" s="9" t="s">
        <v>27</v>
      </c>
      <c r="J11" s="10" t="s">
        <v>28</v>
      </c>
      <c r="K11" s="9" t="s">
        <v>29</v>
      </c>
      <c r="L11" s="7" t="s">
        <v>47</v>
      </c>
      <c r="M11" s="10" t="s">
        <v>48</v>
      </c>
      <c r="N11" s="10" t="s">
        <v>49</v>
      </c>
      <c r="O11" s="10" t="s">
        <v>33</v>
      </c>
    </row>
    <row r="12" customFormat="false" ht="15" hidden="false" customHeight="true" outlineLevel="0" collapsed="false">
      <c r="A12" s="7" t="s">
        <v>50</v>
      </c>
      <c r="B12" s="8" t="s">
        <v>51</v>
      </c>
      <c r="C12" s="8" t="s">
        <v>52</v>
      </c>
      <c r="D12" s="7" t="s">
        <v>53</v>
      </c>
      <c r="E12" s="7" t="s">
        <v>23</v>
      </c>
      <c r="F12" s="7" t="s">
        <v>24</v>
      </c>
      <c r="G12" s="7" t="s">
        <v>54</v>
      </c>
      <c r="H12" s="7" t="s">
        <v>55</v>
      </c>
      <c r="I12" s="9" t="s">
        <v>56</v>
      </c>
      <c r="J12" s="10" t="s">
        <v>57</v>
      </c>
      <c r="K12" s="9" t="s">
        <v>29</v>
      </c>
      <c r="L12" s="7" t="s">
        <v>58</v>
      </c>
      <c r="M12" s="10" t="s">
        <v>59</v>
      </c>
      <c r="N12" s="10" t="s">
        <v>60</v>
      </c>
      <c r="O12" s="10" t="s">
        <v>33</v>
      </c>
    </row>
    <row r="13" customFormat="false" ht="15" hidden="false" customHeight="true" outlineLevel="0" collapsed="false">
      <c r="A13" s="7" t="s">
        <v>61</v>
      </c>
      <c r="B13" s="8" t="s">
        <v>51</v>
      </c>
      <c r="C13" s="8" t="s">
        <v>62</v>
      </c>
      <c r="D13" s="7" t="s">
        <v>53</v>
      </c>
      <c r="E13" s="7" t="s">
        <v>23</v>
      </c>
      <c r="F13" s="7" t="s">
        <v>24</v>
      </c>
      <c r="G13" s="7" t="s">
        <v>54</v>
      </c>
      <c r="H13" s="7" t="s">
        <v>55</v>
      </c>
      <c r="I13" s="9" t="s">
        <v>56</v>
      </c>
      <c r="J13" s="10" t="s">
        <v>57</v>
      </c>
      <c r="K13" s="9" t="s">
        <v>29</v>
      </c>
      <c r="L13" s="7" t="s">
        <v>58</v>
      </c>
      <c r="M13" s="10" t="s">
        <v>59</v>
      </c>
      <c r="N13" s="10" t="s">
        <v>60</v>
      </c>
      <c r="O13" s="10" t="s">
        <v>33</v>
      </c>
    </row>
    <row r="14" customFormat="false" ht="15" hidden="false" customHeight="true" outlineLevel="0" collapsed="false">
      <c r="A14" s="7" t="s">
        <v>63</v>
      </c>
      <c r="B14" s="8" t="s">
        <v>64</v>
      </c>
      <c r="C14" s="8" t="s">
        <v>35</v>
      </c>
      <c r="D14" s="7" t="s">
        <v>65</v>
      </c>
      <c r="E14" s="7" t="s">
        <v>23</v>
      </c>
      <c r="F14" s="7" t="s">
        <v>24</v>
      </c>
      <c r="G14" s="7" t="s">
        <v>66</v>
      </c>
      <c r="H14" s="7" t="s">
        <v>67</v>
      </c>
      <c r="I14" s="9" t="s">
        <v>56</v>
      </c>
      <c r="J14" s="10" t="s">
        <v>57</v>
      </c>
      <c r="K14" s="9" t="s">
        <v>68</v>
      </c>
      <c r="L14" s="7" t="s">
        <v>39</v>
      </c>
      <c r="M14" s="10" t="s">
        <v>69</v>
      </c>
      <c r="N14" s="10" t="s">
        <v>70</v>
      </c>
      <c r="O14" s="10" t="s">
        <v>33</v>
      </c>
    </row>
    <row r="15" customFormat="false" ht="15" hidden="false" customHeight="true" outlineLevel="0" collapsed="false">
      <c r="A15" s="7" t="s">
        <v>71</v>
      </c>
      <c r="B15" s="8" t="s">
        <v>20</v>
      </c>
      <c r="C15" s="8" t="s">
        <v>72</v>
      </c>
      <c r="D15" s="7" t="s">
        <v>73</v>
      </c>
      <c r="E15" s="7" t="s">
        <v>23</v>
      </c>
      <c r="F15" s="7" t="s">
        <v>74</v>
      </c>
      <c r="G15" s="7" t="s">
        <v>37</v>
      </c>
      <c r="H15" s="7" t="s">
        <v>47</v>
      </c>
      <c r="I15" s="9" t="s">
        <v>56</v>
      </c>
      <c r="J15" s="10" t="s">
        <v>57</v>
      </c>
      <c r="K15" s="9" t="s">
        <v>75</v>
      </c>
      <c r="L15" s="7" t="s">
        <v>39</v>
      </c>
      <c r="M15" s="10" t="s">
        <v>76</v>
      </c>
      <c r="N15" s="10" t="s">
        <v>77</v>
      </c>
      <c r="O15" s="10" t="s">
        <v>33</v>
      </c>
    </row>
    <row r="16" customFormat="false" ht="15" hidden="false" customHeight="true" outlineLevel="0" collapsed="false">
      <c r="A16" s="7" t="s">
        <v>78</v>
      </c>
      <c r="B16" s="8" t="s">
        <v>79</v>
      </c>
      <c r="C16" s="8" t="s">
        <v>35</v>
      </c>
      <c r="D16" s="7" t="s">
        <v>80</v>
      </c>
      <c r="E16" s="7" t="s">
        <v>23</v>
      </c>
      <c r="F16" s="7" t="s">
        <v>24</v>
      </c>
      <c r="G16" s="7" t="s">
        <v>81</v>
      </c>
      <c r="H16" s="7" t="s">
        <v>82</v>
      </c>
      <c r="I16" s="9" t="s">
        <v>83</v>
      </c>
      <c r="J16" s="10" t="s">
        <v>84</v>
      </c>
      <c r="K16" s="9" t="s">
        <v>85</v>
      </c>
      <c r="L16" s="7" t="s">
        <v>86</v>
      </c>
      <c r="M16" s="10" t="s">
        <v>87</v>
      </c>
      <c r="N16" s="10" t="s">
        <v>88</v>
      </c>
      <c r="O16" s="10" t="s">
        <v>33</v>
      </c>
    </row>
    <row r="17" customFormat="false" ht="15" hidden="false" customHeight="true" outlineLevel="0" collapsed="false">
      <c r="A17" s="7" t="s">
        <v>89</v>
      </c>
      <c r="B17" s="8" t="s">
        <v>79</v>
      </c>
      <c r="C17" s="8" t="s">
        <v>90</v>
      </c>
      <c r="D17" s="7" t="s">
        <v>80</v>
      </c>
      <c r="E17" s="7" t="s">
        <v>23</v>
      </c>
      <c r="F17" s="7" t="s">
        <v>24</v>
      </c>
      <c r="G17" s="7" t="s">
        <v>81</v>
      </c>
      <c r="H17" s="7" t="s">
        <v>82</v>
      </c>
      <c r="I17" s="9" t="s">
        <v>83</v>
      </c>
      <c r="J17" s="10" t="s">
        <v>84</v>
      </c>
      <c r="K17" s="9" t="s">
        <v>85</v>
      </c>
      <c r="L17" s="7" t="s">
        <v>86</v>
      </c>
      <c r="M17" s="10" t="s">
        <v>87</v>
      </c>
      <c r="N17" s="10" t="s">
        <v>88</v>
      </c>
      <c r="O17" s="10" t="s">
        <v>33</v>
      </c>
    </row>
    <row r="18" customFormat="false" ht="15" hidden="false" customHeight="true" outlineLevel="0" collapsed="false">
      <c r="A18" s="7" t="s">
        <v>91</v>
      </c>
      <c r="B18" s="8" t="s">
        <v>92</v>
      </c>
      <c r="C18" s="8" t="s">
        <v>93</v>
      </c>
      <c r="D18" s="7" t="s">
        <v>94</v>
      </c>
      <c r="E18" s="7" t="s">
        <v>23</v>
      </c>
      <c r="F18" s="7" t="s">
        <v>24</v>
      </c>
      <c r="G18" s="7" t="s">
        <v>95</v>
      </c>
      <c r="H18" s="7" t="s">
        <v>96</v>
      </c>
      <c r="I18" s="9" t="s">
        <v>83</v>
      </c>
      <c r="J18" s="10" t="s">
        <v>84</v>
      </c>
      <c r="K18" s="9" t="s">
        <v>85</v>
      </c>
      <c r="L18" s="7" t="s">
        <v>86</v>
      </c>
      <c r="M18" s="10" t="s">
        <v>97</v>
      </c>
      <c r="N18" s="10" t="s">
        <v>98</v>
      </c>
      <c r="O18" s="10" t="s">
        <v>33</v>
      </c>
    </row>
    <row r="19" customFormat="false" ht="15" hidden="false" customHeight="true" outlineLevel="0" collapsed="false">
      <c r="A19" s="7" t="s">
        <v>99</v>
      </c>
      <c r="B19" s="8" t="s">
        <v>92</v>
      </c>
      <c r="C19" s="8" t="s">
        <v>100</v>
      </c>
      <c r="D19" s="7" t="s">
        <v>94</v>
      </c>
      <c r="E19" s="7" t="s">
        <v>23</v>
      </c>
      <c r="F19" s="7" t="s">
        <v>24</v>
      </c>
      <c r="G19" s="7" t="s">
        <v>95</v>
      </c>
      <c r="H19" s="7" t="s">
        <v>96</v>
      </c>
      <c r="I19" s="9" t="s">
        <v>83</v>
      </c>
      <c r="J19" s="10" t="s">
        <v>84</v>
      </c>
      <c r="K19" s="9" t="s">
        <v>85</v>
      </c>
      <c r="L19" s="7" t="s">
        <v>86</v>
      </c>
      <c r="M19" s="10" t="s">
        <v>97</v>
      </c>
      <c r="N19" s="10" t="s">
        <v>98</v>
      </c>
      <c r="O19" s="10" t="s">
        <v>33</v>
      </c>
    </row>
    <row r="20" customFormat="false" ht="15" hidden="false" customHeight="true" outlineLevel="0" collapsed="false">
      <c r="A20" s="7" t="s">
        <v>101</v>
      </c>
      <c r="B20" s="8" t="s">
        <v>64</v>
      </c>
      <c r="C20" s="8" t="s">
        <v>35</v>
      </c>
      <c r="D20" s="7" t="s">
        <v>102</v>
      </c>
      <c r="E20" s="7" t="s">
        <v>23</v>
      </c>
      <c r="F20" s="7" t="s">
        <v>74</v>
      </c>
      <c r="G20" s="7" t="s">
        <v>81</v>
      </c>
      <c r="H20" s="7" t="s">
        <v>47</v>
      </c>
      <c r="I20" s="9" t="s">
        <v>83</v>
      </c>
      <c r="J20" s="10" t="s">
        <v>84</v>
      </c>
      <c r="K20" s="9" t="s">
        <v>103</v>
      </c>
      <c r="L20" s="7" t="s">
        <v>86</v>
      </c>
      <c r="M20" s="10" t="s">
        <v>104</v>
      </c>
      <c r="N20" s="10" t="s">
        <v>105</v>
      </c>
      <c r="O20" s="10" t="s">
        <v>33</v>
      </c>
    </row>
    <row r="21" customFormat="false" ht="15" hidden="false" customHeight="true" outlineLevel="0" collapsed="false">
      <c r="A21" s="7" t="s">
        <v>106</v>
      </c>
      <c r="B21" s="8" t="s">
        <v>92</v>
      </c>
      <c r="C21" s="8" t="s">
        <v>100</v>
      </c>
      <c r="D21" s="7" t="s">
        <v>107</v>
      </c>
      <c r="E21" s="7" t="s">
        <v>23</v>
      </c>
      <c r="F21" s="7" t="s">
        <v>24</v>
      </c>
      <c r="G21" s="7" t="s">
        <v>37</v>
      </c>
      <c r="H21" s="7" t="s">
        <v>108</v>
      </c>
      <c r="I21" s="9" t="s">
        <v>27</v>
      </c>
      <c r="J21" s="10" t="s">
        <v>28</v>
      </c>
      <c r="K21" s="9" t="s">
        <v>29</v>
      </c>
      <c r="L21" s="7" t="s">
        <v>39</v>
      </c>
      <c r="M21" s="10" t="s">
        <v>109</v>
      </c>
      <c r="N21" s="10" t="s">
        <v>110</v>
      </c>
      <c r="O21" s="10" t="s">
        <v>33</v>
      </c>
    </row>
    <row r="22" customFormat="false" ht="15" hidden="false" customHeight="true" outlineLevel="0" collapsed="false">
      <c r="A22" s="7" t="s">
        <v>111</v>
      </c>
      <c r="B22" s="8" t="s">
        <v>92</v>
      </c>
      <c r="C22" s="8" t="s">
        <v>93</v>
      </c>
      <c r="D22" s="7" t="s">
        <v>112</v>
      </c>
      <c r="E22" s="7" t="s">
        <v>23</v>
      </c>
      <c r="F22" s="7" t="s">
        <v>74</v>
      </c>
      <c r="G22" s="7" t="s">
        <v>95</v>
      </c>
      <c r="H22" s="7" t="s">
        <v>47</v>
      </c>
      <c r="I22" s="9" t="s">
        <v>56</v>
      </c>
      <c r="J22" s="10" t="s">
        <v>57</v>
      </c>
      <c r="K22" s="9" t="s">
        <v>29</v>
      </c>
      <c r="L22" s="7" t="s">
        <v>39</v>
      </c>
      <c r="M22" s="10" t="s">
        <v>113</v>
      </c>
      <c r="N22" s="10" t="s">
        <v>114</v>
      </c>
      <c r="O22" s="10" t="s">
        <v>33</v>
      </c>
    </row>
    <row r="23" customFormat="false" ht="15" hidden="false" customHeight="true" outlineLevel="0" collapsed="false">
      <c r="A23" s="7" t="s">
        <v>115</v>
      </c>
      <c r="B23" s="8" t="s">
        <v>20</v>
      </c>
      <c r="C23" s="8" t="s">
        <v>35</v>
      </c>
      <c r="D23" s="7" t="s">
        <v>116</v>
      </c>
      <c r="E23" s="7" t="s">
        <v>23</v>
      </c>
      <c r="F23" s="7" t="s">
        <v>24</v>
      </c>
      <c r="G23" s="7" t="s">
        <v>117</v>
      </c>
      <c r="H23" s="7" t="s">
        <v>118</v>
      </c>
      <c r="I23" s="9" t="s">
        <v>83</v>
      </c>
      <c r="J23" s="10" t="s">
        <v>84</v>
      </c>
      <c r="K23" s="9" t="s">
        <v>119</v>
      </c>
      <c r="L23" s="7" t="s">
        <v>120</v>
      </c>
      <c r="M23" s="10" t="s">
        <v>121</v>
      </c>
      <c r="N23" s="10" t="s">
        <v>122</v>
      </c>
      <c r="O23" s="10" t="s">
        <v>33</v>
      </c>
    </row>
    <row r="24" customFormat="false" ht="15" hidden="false" customHeight="true" outlineLevel="0" collapsed="false">
      <c r="A24" s="7" t="s">
        <v>123</v>
      </c>
      <c r="B24" s="8" t="s">
        <v>51</v>
      </c>
      <c r="C24" s="8" t="s">
        <v>124</v>
      </c>
      <c r="D24" s="7" t="s">
        <v>116</v>
      </c>
      <c r="E24" s="7" t="s">
        <v>23</v>
      </c>
      <c r="F24" s="7" t="s">
        <v>24</v>
      </c>
      <c r="G24" s="7" t="s">
        <v>117</v>
      </c>
      <c r="H24" s="7" t="s">
        <v>118</v>
      </c>
      <c r="I24" s="9" t="s">
        <v>83</v>
      </c>
      <c r="J24" s="10" t="s">
        <v>84</v>
      </c>
      <c r="K24" s="9" t="s">
        <v>119</v>
      </c>
      <c r="L24" s="7" t="s">
        <v>120</v>
      </c>
      <c r="M24" s="10" t="s">
        <v>121</v>
      </c>
      <c r="N24" s="10" t="s">
        <v>122</v>
      </c>
      <c r="O24" s="10" t="s">
        <v>33</v>
      </c>
    </row>
    <row r="25" customFormat="false" ht="15" hidden="false" customHeight="true" outlineLevel="0" collapsed="false">
      <c r="A25" s="7" t="s">
        <v>125</v>
      </c>
      <c r="B25" s="8" t="s">
        <v>126</v>
      </c>
      <c r="C25" s="8" t="s">
        <v>127</v>
      </c>
      <c r="D25" s="7" t="s">
        <v>128</v>
      </c>
      <c r="E25" s="7" t="s">
        <v>23</v>
      </c>
      <c r="F25" s="7" t="s">
        <v>24</v>
      </c>
      <c r="G25" s="7" t="s">
        <v>129</v>
      </c>
      <c r="H25" s="7" t="s">
        <v>130</v>
      </c>
      <c r="I25" s="9" t="s">
        <v>131</v>
      </c>
      <c r="J25" s="10" t="s">
        <v>132</v>
      </c>
      <c r="K25" s="9" t="s">
        <v>133</v>
      </c>
      <c r="L25" s="7" t="s">
        <v>58</v>
      </c>
      <c r="M25" s="10" t="s">
        <v>134</v>
      </c>
      <c r="N25" s="10" t="s">
        <v>135</v>
      </c>
      <c r="O25" s="10" t="s">
        <v>33</v>
      </c>
    </row>
    <row r="26" customFormat="false" ht="15" hidden="false" customHeight="true" outlineLevel="0" collapsed="false">
      <c r="A26" s="7" t="s">
        <v>136</v>
      </c>
      <c r="B26" s="8" t="s">
        <v>126</v>
      </c>
      <c r="C26" s="8" t="s">
        <v>127</v>
      </c>
      <c r="D26" s="7" t="s">
        <v>137</v>
      </c>
      <c r="E26" s="7" t="s">
        <v>23</v>
      </c>
      <c r="F26" s="7" t="s">
        <v>24</v>
      </c>
      <c r="G26" s="7" t="s">
        <v>129</v>
      </c>
      <c r="H26" s="7" t="s">
        <v>138</v>
      </c>
      <c r="I26" s="9" t="s">
        <v>131</v>
      </c>
      <c r="J26" s="10" t="s">
        <v>132</v>
      </c>
      <c r="K26" s="9" t="s">
        <v>133</v>
      </c>
      <c r="L26" s="7" t="s">
        <v>139</v>
      </c>
      <c r="M26" s="10" t="s">
        <v>140</v>
      </c>
      <c r="N26" s="10" t="s">
        <v>141</v>
      </c>
      <c r="O26" s="10" t="s">
        <v>33</v>
      </c>
    </row>
    <row r="27" customFormat="false" ht="15" hidden="false" customHeight="true" outlineLevel="0" collapsed="false">
      <c r="A27" s="7" t="s">
        <v>142</v>
      </c>
      <c r="B27" s="8" t="s">
        <v>20</v>
      </c>
      <c r="C27" s="8" t="s">
        <v>143</v>
      </c>
      <c r="D27" s="7" t="s">
        <v>144</v>
      </c>
      <c r="E27" s="7" t="s">
        <v>23</v>
      </c>
      <c r="F27" s="7" t="s">
        <v>74</v>
      </c>
      <c r="G27" s="7" t="s">
        <v>129</v>
      </c>
      <c r="H27" s="7" t="s">
        <v>47</v>
      </c>
      <c r="I27" s="9" t="s">
        <v>131</v>
      </c>
      <c r="J27" s="10" t="s">
        <v>132</v>
      </c>
      <c r="K27" s="9" t="s">
        <v>29</v>
      </c>
      <c r="L27" s="7" t="s">
        <v>139</v>
      </c>
      <c r="M27" s="10" t="s">
        <v>145</v>
      </c>
      <c r="N27" s="10" t="s">
        <v>146</v>
      </c>
      <c r="O27" s="10" t="s">
        <v>33</v>
      </c>
    </row>
    <row r="28" customFormat="false" ht="15" hidden="false" customHeight="true" outlineLevel="0" collapsed="false">
      <c r="A28" s="7" t="s">
        <v>147</v>
      </c>
      <c r="B28" s="8" t="s">
        <v>20</v>
      </c>
      <c r="C28" s="8" t="s">
        <v>35</v>
      </c>
      <c r="D28" s="7" t="s">
        <v>148</v>
      </c>
      <c r="E28" s="7" t="s">
        <v>23</v>
      </c>
      <c r="F28" s="7" t="s">
        <v>74</v>
      </c>
      <c r="G28" s="7" t="s">
        <v>149</v>
      </c>
      <c r="H28" s="7" t="s">
        <v>47</v>
      </c>
      <c r="I28" s="9" t="s">
        <v>131</v>
      </c>
      <c r="J28" s="10" t="s">
        <v>132</v>
      </c>
      <c r="K28" s="9" t="s">
        <v>29</v>
      </c>
      <c r="L28" s="7" t="s">
        <v>150</v>
      </c>
      <c r="M28" s="10" t="s">
        <v>151</v>
      </c>
      <c r="N28" s="10" t="s">
        <v>152</v>
      </c>
      <c r="O28" s="10" t="s">
        <v>33</v>
      </c>
    </row>
    <row r="29" customFormat="false" ht="15" hidden="false" customHeight="true" outlineLevel="0" collapsed="false">
      <c r="A29" s="7" t="s">
        <v>153</v>
      </c>
      <c r="B29" s="8" t="s">
        <v>20</v>
      </c>
      <c r="C29" s="8" t="s">
        <v>35</v>
      </c>
      <c r="D29" s="7" t="s">
        <v>154</v>
      </c>
      <c r="E29" s="7" t="s">
        <v>23</v>
      </c>
      <c r="F29" s="7" t="s">
        <v>74</v>
      </c>
      <c r="G29" s="7" t="s">
        <v>149</v>
      </c>
      <c r="H29" s="7" t="s">
        <v>47</v>
      </c>
      <c r="I29" s="9" t="s">
        <v>56</v>
      </c>
      <c r="J29" s="10" t="s">
        <v>57</v>
      </c>
      <c r="K29" s="9" t="s">
        <v>29</v>
      </c>
      <c r="L29" s="7" t="s">
        <v>39</v>
      </c>
      <c r="M29" s="10" t="s">
        <v>155</v>
      </c>
      <c r="N29" s="10" t="s">
        <v>156</v>
      </c>
      <c r="O29" s="10" t="s">
        <v>33</v>
      </c>
    </row>
    <row r="30" customFormat="false" ht="15" hidden="false" customHeight="true" outlineLevel="0" collapsed="false">
      <c r="A30" s="7" t="s">
        <v>157</v>
      </c>
      <c r="B30" s="8" t="s">
        <v>20</v>
      </c>
      <c r="C30" s="8" t="s">
        <v>35</v>
      </c>
      <c r="D30" s="7" t="s">
        <v>158</v>
      </c>
      <c r="E30" s="7" t="s">
        <v>23</v>
      </c>
      <c r="F30" s="7" t="s">
        <v>24</v>
      </c>
      <c r="G30" s="7" t="s">
        <v>159</v>
      </c>
      <c r="H30" s="7" t="s">
        <v>160</v>
      </c>
      <c r="I30" s="9" t="s">
        <v>161</v>
      </c>
      <c r="J30" s="10" t="s">
        <v>162</v>
      </c>
      <c r="K30" s="9" t="s">
        <v>75</v>
      </c>
      <c r="L30" s="7" t="s">
        <v>150</v>
      </c>
      <c r="M30" s="10" t="s">
        <v>163</v>
      </c>
      <c r="N30" s="10" t="s">
        <v>164</v>
      </c>
      <c r="O30" s="10" t="s">
        <v>33</v>
      </c>
    </row>
    <row r="31" customFormat="false" ht="15" hidden="false" customHeight="true" outlineLevel="0" collapsed="false">
      <c r="A31" s="7" t="s">
        <v>165</v>
      </c>
      <c r="B31" s="8" t="s">
        <v>20</v>
      </c>
      <c r="C31" s="8" t="s">
        <v>43</v>
      </c>
      <c r="D31" s="7" t="s">
        <v>166</v>
      </c>
      <c r="E31" s="7" t="s">
        <v>23</v>
      </c>
      <c r="F31" s="7" t="s">
        <v>24</v>
      </c>
      <c r="G31" s="7" t="s">
        <v>149</v>
      </c>
      <c r="H31" s="7" t="s">
        <v>167</v>
      </c>
      <c r="I31" s="9" t="s">
        <v>161</v>
      </c>
      <c r="J31" s="10" t="s">
        <v>162</v>
      </c>
      <c r="K31" s="9" t="s">
        <v>29</v>
      </c>
      <c r="L31" s="7" t="s">
        <v>150</v>
      </c>
      <c r="M31" s="10" t="s">
        <v>168</v>
      </c>
      <c r="N31" s="10" t="s">
        <v>169</v>
      </c>
      <c r="O31" s="10" t="s">
        <v>33</v>
      </c>
    </row>
    <row r="32" customFormat="false" ht="15" hidden="false" customHeight="true" outlineLevel="0" collapsed="false">
      <c r="A32" s="7" t="s">
        <v>170</v>
      </c>
      <c r="B32" s="8" t="s">
        <v>20</v>
      </c>
      <c r="C32" s="8" t="s">
        <v>72</v>
      </c>
      <c r="D32" s="7" t="s">
        <v>171</v>
      </c>
      <c r="E32" s="7" t="s">
        <v>23</v>
      </c>
      <c r="F32" s="7" t="s">
        <v>74</v>
      </c>
      <c r="G32" s="7" t="s">
        <v>149</v>
      </c>
      <c r="H32" s="7" t="s">
        <v>47</v>
      </c>
      <c r="I32" s="9" t="s">
        <v>161</v>
      </c>
      <c r="J32" s="10" t="s">
        <v>162</v>
      </c>
      <c r="K32" s="9" t="s">
        <v>29</v>
      </c>
      <c r="L32" s="7" t="s">
        <v>39</v>
      </c>
      <c r="M32" s="10" t="s">
        <v>172</v>
      </c>
      <c r="N32" s="10" t="s">
        <v>173</v>
      </c>
      <c r="O32" s="10" t="s">
        <v>33</v>
      </c>
    </row>
    <row r="33" customFormat="false" ht="15" hidden="false" customHeight="true" outlineLevel="0" collapsed="false">
      <c r="A33" s="7" t="s">
        <v>174</v>
      </c>
      <c r="B33" s="8" t="s">
        <v>175</v>
      </c>
      <c r="C33" s="8" t="s">
        <v>100</v>
      </c>
      <c r="D33" s="7" t="s">
        <v>176</v>
      </c>
      <c r="E33" s="7" t="s">
        <v>23</v>
      </c>
      <c r="F33" s="7" t="s">
        <v>24</v>
      </c>
      <c r="G33" s="7" t="s">
        <v>177</v>
      </c>
      <c r="H33" s="7" t="s">
        <v>178</v>
      </c>
      <c r="I33" s="9" t="s">
        <v>83</v>
      </c>
      <c r="J33" s="10" t="s">
        <v>84</v>
      </c>
      <c r="K33" s="9" t="s">
        <v>179</v>
      </c>
      <c r="L33" s="7" t="s">
        <v>86</v>
      </c>
      <c r="M33" s="10" t="s">
        <v>180</v>
      </c>
      <c r="N33" s="10" t="s">
        <v>181</v>
      </c>
      <c r="O33" s="10" t="s">
        <v>33</v>
      </c>
    </row>
    <row r="34" customFormat="false" ht="15" hidden="false" customHeight="true" outlineLevel="0" collapsed="false">
      <c r="A34" s="7" t="s">
        <v>182</v>
      </c>
      <c r="B34" s="8" t="s">
        <v>175</v>
      </c>
      <c r="C34" s="8" t="s">
        <v>183</v>
      </c>
      <c r="D34" s="7" t="s">
        <v>176</v>
      </c>
      <c r="E34" s="7" t="s">
        <v>23</v>
      </c>
      <c r="F34" s="7" t="s">
        <v>24</v>
      </c>
      <c r="G34" s="7" t="s">
        <v>177</v>
      </c>
      <c r="H34" s="7" t="s">
        <v>178</v>
      </c>
      <c r="I34" s="9" t="s">
        <v>83</v>
      </c>
      <c r="J34" s="10" t="s">
        <v>84</v>
      </c>
      <c r="K34" s="9" t="s">
        <v>179</v>
      </c>
      <c r="L34" s="7" t="s">
        <v>86</v>
      </c>
      <c r="M34" s="10" t="s">
        <v>180</v>
      </c>
      <c r="N34" s="10" t="s">
        <v>181</v>
      </c>
      <c r="O34" s="10" t="s">
        <v>33</v>
      </c>
    </row>
    <row r="35" customFormat="false" ht="15" hidden="false" customHeight="true" outlineLevel="0" collapsed="false">
      <c r="A35" s="7" t="s">
        <v>184</v>
      </c>
      <c r="B35" s="8" t="s">
        <v>20</v>
      </c>
      <c r="C35" s="8" t="s">
        <v>185</v>
      </c>
      <c r="D35" s="7" t="s">
        <v>186</v>
      </c>
      <c r="E35" s="7" t="s">
        <v>23</v>
      </c>
      <c r="F35" s="7" t="s">
        <v>24</v>
      </c>
      <c r="G35" s="7" t="s">
        <v>177</v>
      </c>
      <c r="H35" s="7" t="s">
        <v>187</v>
      </c>
      <c r="I35" s="9" t="s">
        <v>188</v>
      </c>
      <c r="J35" s="10" t="s">
        <v>189</v>
      </c>
      <c r="K35" s="9" t="s">
        <v>190</v>
      </c>
      <c r="L35" s="7" t="s">
        <v>120</v>
      </c>
      <c r="M35" s="10" t="s">
        <v>191</v>
      </c>
      <c r="N35" s="10" t="s">
        <v>192</v>
      </c>
      <c r="O35" s="10" t="s">
        <v>33</v>
      </c>
    </row>
    <row r="36" customFormat="false" ht="15" hidden="false" customHeight="true" outlineLevel="0" collapsed="false">
      <c r="A36" s="7" t="s">
        <v>193</v>
      </c>
      <c r="B36" s="8" t="s">
        <v>20</v>
      </c>
      <c r="C36" s="8" t="s">
        <v>100</v>
      </c>
      <c r="D36" s="7" t="s">
        <v>194</v>
      </c>
      <c r="E36" s="7" t="s">
        <v>23</v>
      </c>
      <c r="F36" s="7" t="s">
        <v>74</v>
      </c>
      <c r="G36" s="7" t="s">
        <v>195</v>
      </c>
      <c r="H36" s="7" t="s">
        <v>47</v>
      </c>
      <c r="I36" s="9" t="s">
        <v>188</v>
      </c>
      <c r="J36" s="10" t="s">
        <v>189</v>
      </c>
      <c r="K36" s="9" t="s">
        <v>196</v>
      </c>
      <c r="L36" s="7" t="s">
        <v>150</v>
      </c>
      <c r="M36" s="10" t="s">
        <v>197</v>
      </c>
      <c r="N36" s="10" t="s">
        <v>198</v>
      </c>
      <c r="O36" s="10" t="s">
        <v>33</v>
      </c>
    </row>
    <row r="37" customFormat="false" ht="15" hidden="false" customHeight="true" outlineLevel="0" collapsed="false">
      <c r="A37" s="7" t="s">
        <v>199</v>
      </c>
      <c r="B37" s="8" t="s">
        <v>175</v>
      </c>
      <c r="C37" s="8" t="s">
        <v>185</v>
      </c>
      <c r="D37" s="7" t="s">
        <v>200</v>
      </c>
      <c r="E37" s="7" t="s">
        <v>23</v>
      </c>
      <c r="F37" s="7" t="s">
        <v>74</v>
      </c>
      <c r="G37" s="7" t="s">
        <v>195</v>
      </c>
      <c r="H37" s="7" t="s">
        <v>47</v>
      </c>
      <c r="I37" s="9" t="s">
        <v>188</v>
      </c>
      <c r="J37" s="10" t="s">
        <v>189</v>
      </c>
      <c r="K37" s="9" t="s">
        <v>201</v>
      </c>
      <c r="L37" s="7" t="s">
        <v>150</v>
      </c>
      <c r="M37" s="10" t="s">
        <v>202</v>
      </c>
      <c r="N37" s="10" t="s">
        <v>203</v>
      </c>
      <c r="O37" s="10" t="s">
        <v>33</v>
      </c>
    </row>
    <row r="38" customFormat="false" ht="15" hidden="false" customHeight="true" outlineLevel="0" collapsed="false">
      <c r="A38" s="7" t="s">
        <v>204</v>
      </c>
      <c r="B38" s="8" t="s">
        <v>175</v>
      </c>
      <c r="C38" s="8" t="s">
        <v>100</v>
      </c>
      <c r="D38" s="7" t="s">
        <v>205</v>
      </c>
      <c r="E38" s="7" t="s">
        <v>23</v>
      </c>
      <c r="F38" s="7" t="s">
        <v>74</v>
      </c>
      <c r="G38" s="7" t="s">
        <v>195</v>
      </c>
      <c r="H38" s="7" t="s">
        <v>47</v>
      </c>
      <c r="I38" s="9" t="s">
        <v>188</v>
      </c>
      <c r="J38" s="10" t="s">
        <v>189</v>
      </c>
      <c r="K38" s="9" t="s">
        <v>206</v>
      </c>
      <c r="L38" s="7" t="s">
        <v>150</v>
      </c>
      <c r="M38" s="10" t="s">
        <v>207</v>
      </c>
      <c r="N38" s="10" t="s">
        <v>208</v>
      </c>
      <c r="O38" s="10" t="s">
        <v>33</v>
      </c>
    </row>
    <row r="39" customFormat="false" ht="15" hidden="false" customHeight="true" outlineLevel="0" collapsed="false">
      <c r="A39" s="7" t="s">
        <v>209</v>
      </c>
      <c r="B39" s="8" t="s">
        <v>20</v>
      </c>
      <c r="C39" s="8" t="s">
        <v>62</v>
      </c>
      <c r="D39" s="7" t="s">
        <v>210</v>
      </c>
      <c r="E39" s="7" t="s">
        <v>23</v>
      </c>
      <c r="F39" s="7" t="s">
        <v>24</v>
      </c>
      <c r="G39" s="7" t="s">
        <v>211</v>
      </c>
      <c r="H39" s="7" t="s">
        <v>212</v>
      </c>
      <c r="I39" s="9" t="s">
        <v>213</v>
      </c>
      <c r="J39" s="10" t="s">
        <v>214</v>
      </c>
      <c r="K39" s="9" t="s">
        <v>29</v>
      </c>
      <c r="L39" s="7" t="s">
        <v>215</v>
      </c>
      <c r="M39" s="10" t="s">
        <v>216</v>
      </c>
      <c r="N39" s="10" t="s">
        <v>217</v>
      </c>
      <c r="O39" s="10" t="s">
        <v>33</v>
      </c>
    </row>
    <row r="40" customFormat="false" ht="15" hidden="false" customHeight="true" outlineLevel="0" collapsed="false">
      <c r="A40" s="7" t="s">
        <v>218</v>
      </c>
      <c r="B40" s="8" t="s">
        <v>20</v>
      </c>
      <c r="C40" s="8" t="s">
        <v>62</v>
      </c>
      <c r="D40" s="7" t="s">
        <v>219</v>
      </c>
      <c r="E40" s="7" t="s">
        <v>23</v>
      </c>
      <c r="F40" s="7" t="s">
        <v>74</v>
      </c>
      <c r="G40" s="7" t="s">
        <v>211</v>
      </c>
      <c r="H40" s="7" t="s">
        <v>47</v>
      </c>
      <c r="I40" s="9" t="s">
        <v>213</v>
      </c>
      <c r="J40" s="10" t="s">
        <v>214</v>
      </c>
      <c r="K40" s="9" t="s">
        <v>29</v>
      </c>
      <c r="L40" s="7" t="s">
        <v>215</v>
      </c>
      <c r="M40" s="10" t="s">
        <v>220</v>
      </c>
      <c r="N40" s="10" t="s">
        <v>221</v>
      </c>
      <c r="O40" s="10" t="s">
        <v>33</v>
      </c>
    </row>
    <row r="41" customFormat="false" ht="15" hidden="false" customHeight="true" outlineLevel="0" collapsed="false">
      <c r="A41" s="7" t="s">
        <v>222</v>
      </c>
      <c r="B41" s="8" t="s">
        <v>51</v>
      </c>
      <c r="C41" s="8" t="s">
        <v>223</v>
      </c>
      <c r="D41" s="7" t="s">
        <v>224</v>
      </c>
      <c r="E41" s="7" t="s">
        <v>23</v>
      </c>
      <c r="F41" s="7" t="s">
        <v>24</v>
      </c>
      <c r="G41" s="7" t="s">
        <v>54</v>
      </c>
      <c r="H41" s="7" t="s">
        <v>225</v>
      </c>
      <c r="I41" s="9" t="s">
        <v>56</v>
      </c>
      <c r="J41" s="10" t="s">
        <v>57</v>
      </c>
      <c r="K41" s="9" t="s">
        <v>29</v>
      </c>
      <c r="L41" s="7" t="s">
        <v>58</v>
      </c>
      <c r="M41" s="10" t="s">
        <v>226</v>
      </c>
      <c r="N41" s="10" t="s">
        <v>227</v>
      </c>
      <c r="O41" s="10" t="s">
        <v>33</v>
      </c>
    </row>
    <row r="42" customFormat="false" ht="15" hidden="false" customHeight="true" outlineLevel="0" collapsed="false">
      <c r="A42" s="7" t="s">
        <v>228</v>
      </c>
      <c r="B42" s="8" t="s">
        <v>51</v>
      </c>
      <c r="C42" s="8" t="s">
        <v>229</v>
      </c>
      <c r="D42" s="7" t="s">
        <v>230</v>
      </c>
      <c r="E42" s="7" t="s">
        <v>23</v>
      </c>
      <c r="F42" s="7" t="s">
        <v>74</v>
      </c>
      <c r="G42" s="7" t="s">
        <v>231</v>
      </c>
      <c r="H42" s="7" t="s">
        <v>47</v>
      </c>
      <c r="I42" s="9" t="s">
        <v>56</v>
      </c>
      <c r="J42" s="10" t="s">
        <v>57</v>
      </c>
      <c r="K42" s="9" t="s">
        <v>29</v>
      </c>
      <c r="L42" s="7" t="s">
        <v>215</v>
      </c>
      <c r="M42" s="10" t="s">
        <v>232</v>
      </c>
      <c r="N42" s="10" t="s">
        <v>233</v>
      </c>
      <c r="O42" s="10" t="s">
        <v>33</v>
      </c>
    </row>
    <row r="43" customFormat="false" ht="15" hidden="false" customHeight="true" outlineLevel="0" collapsed="false">
      <c r="A43" s="7" t="s">
        <v>234</v>
      </c>
      <c r="B43" s="8" t="s">
        <v>79</v>
      </c>
      <c r="C43" s="8" t="s">
        <v>90</v>
      </c>
      <c r="D43" s="7" t="s">
        <v>235</v>
      </c>
      <c r="E43" s="7" t="s">
        <v>23</v>
      </c>
      <c r="F43" s="7" t="s">
        <v>24</v>
      </c>
      <c r="G43" s="7" t="s">
        <v>236</v>
      </c>
      <c r="H43" s="7" t="s">
        <v>237</v>
      </c>
      <c r="I43" s="9" t="s">
        <v>56</v>
      </c>
      <c r="J43" s="10" t="s">
        <v>57</v>
      </c>
      <c r="K43" s="9" t="s">
        <v>68</v>
      </c>
      <c r="L43" s="7" t="s">
        <v>139</v>
      </c>
      <c r="M43" s="10" t="s">
        <v>238</v>
      </c>
      <c r="N43" s="10" t="s">
        <v>239</v>
      </c>
      <c r="O43" s="10" t="s">
        <v>33</v>
      </c>
    </row>
    <row r="44" customFormat="false" ht="15" hidden="false" customHeight="true" outlineLevel="0" collapsed="false">
      <c r="A44" s="7" t="s">
        <v>240</v>
      </c>
      <c r="B44" s="8" t="s">
        <v>79</v>
      </c>
      <c r="C44" s="8" t="s">
        <v>90</v>
      </c>
      <c r="D44" s="7" t="s">
        <v>241</v>
      </c>
      <c r="E44" s="7" t="s">
        <v>23</v>
      </c>
      <c r="F44" s="7" t="s">
        <v>74</v>
      </c>
      <c r="G44" s="7" t="s">
        <v>236</v>
      </c>
      <c r="H44" s="7" t="s">
        <v>47</v>
      </c>
      <c r="I44" s="9" t="s">
        <v>56</v>
      </c>
      <c r="J44" s="10" t="s">
        <v>57</v>
      </c>
      <c r="K44" s="9" t="s">
        <v>103</v>
      </c>
      <c r="L44" s="7" t="s">
        <v>120</v>
      </c>
      <c r="M44" s="10" t="s">
        <v>242</v>
      </c>
      <c r="N44" s="10" t="s">
        <v>243</v>
      </c>
      <c r="O44" s="10" t="s">
        <v>33</v>
      </c>
    </row>
    <row r="45" customFormat="false" ht="15" hidden="false" customHeight="true" outlineLevel="0" collapsed="false">
      <c r="A45" s="7" t="s">
        <v>244</v>
      </c>
      <c r="B45" s="8" t="s">
        <v>175</v>
      </c>
      <c r="C45" s="8" t="s">
        <v>100</v>
      </c>
      <c r="D45" s="7" t="s">
        <v>245</v>
      </c>
      <c r="E45" s="7" t="s">
        <v>23</v>
      </c>
      <c r="F45" s="7" t="s">
        <v>74</v>
      </c>
      <c r="G45" s="7" t="s">
        <v>159</v>
      </c>
      <c r="H45" s="7" t="s">
        <v>47</v>
      </c>
      <c r="I45" s="9" t="s">
        <v>161</v>
      </c>
      <c r="J45" s="10" t="s">
        <v>162</v>
      </c>
      <c r="K45" s="9" t="s">
        <v>29</v>
      </c>
      <c r="L45" s="7" t="s">
        <v>150</v>
      </c>
      <c r="M45" s="10" t="s">
        <v>246</v>
      </c>
      <c r="N45" s="10" t="s">
        <v>247</v>
      </c>
      <c r="O45" s="10" t="s">
        <v>33</v>
      </c>
    </row>
    <row r="46" customFormat="false" ht="15" hidden="false" customHeight="true" outlineLevel="0" collapsed="false">
      <c r="A46" s="7" t="s">
        <v>248</v>
      </c>
      <c r="B46" s="8" t="s">
        <v>175</v>
      </c>
      <c r="C46" s="8" t="s">
        <v>100</v>
      </c>
      <c r="D46" s="7" t="s">
        <v>249</v>
      </c>
      <c r="E46" s="7" t="s">
        <v>23</v>
      </c>
      <c r="F46" s="7" t="s">
        <v>250</v>
      </c>
      <c r="G46" s="7" t="s">
        <v>195</v>
      </c>
      <c r="H46" s="7" t="s">
        <v>47</v>
      </c>
      <c r="I46" s="9" t="s">
        <v>188</v>
      </c>
      <c r="J46" s="10" t="s">
        <v>189</v>
      </c>
      <c r="K46" s="9" t="s">
        <v>251</v>
      </c>
      <c r="L46" s="7" t="s">
        <v>150</v>
      </c>
      <c r="M46" s="10" t="s">
        <v>252</v>
      </c>
      <c r="N46" s="10" t="s">
        <v>253</v>
      </c>
      <c r="O46" s="10" t="s">
        <v>33</v>
      </c>
    </row>
    <row r="47" customFormat="false" ht="15" hidden="false" customHeight="true" outlineLevel="0" collapsed="false">
      <c r="A47" s="7" t="s">
        <v>254</v>
      </c>
      <c r="B47" s="8" t="s">
        <v>20</v>
      </c>
      <c r="C47" s="8" t="s">
        <v>62</v>
      </c>
      <c r="D47" s="7" t="s">
        <v>255</v>
      </c>
      <c r="E47" s="7" t="s">
        <v>23</v>
      </c>
      <c r="F47" s="7" t="s">
        <v>250</v>
      </c>
      <c r="G47" s="7" t="s">
        <v>211</v>
      </c>
      <c r="H47" s="7" t="s">
        <v>47</v>
      </c>
      <c r="I47" s="9" t="s">
        <v>213</v>
      </c>
      <c r="J47" s="10" t="s">
        <v>214</v>
      </c>
      <c r="K47" s="9" t="s">
        <v>29</v>
      </c>
      <c r="L47" s="7" t="s">
        <v>215</v>
      </c>
      <c r="M47" s="10" t="s">
        <v>256</v>
      </c>
      <c r="N47" s="10" t="s">
        <v>257</v>
      </c>
      <c r="O47" s="10" t="s">
        <v>33</v>
      </c>
    </row>
    <row r="48" customFormat="false" ht="15" hidden="false" customHeight="true" outlineLevel="0" collapsed="false">
      <c r="A48" s="7" t="s">
        <v>258</v>
      </c>
      <c r="B48" s="8" t="s">
        <v>259</v>
      </c>
      <c r="C48" s="8" t="s">
        <v>260</v>
      </c>
      <c r="D48" s="7" t="s">
        <v>261</v>
      </c>
      <c r="E48" s="7" t="s">
        <v>23</v>
      </c>
      <c r="F48" s="7" t="s">
        <v>24</v>
      </c>
      <c r="G48" s="7" t="s">
        <v>54</v>
      </c>
      <c r="H48" s="7" t="s">
        <v>262</v>
      </c>
      <c r="I48" s="9" t="s">
        <v>213</v>
      </c>
      <c r="J48" s="10" t="s">
        <v>214</v>
      </c>
      <c r="K48" s="9" t="s">
        <v>29</v>
      </c>
      <c r="L48" s="7" t="s">
        <v>58</v>
      </c>
      <c r="M48" s="10" t="s">
        <v>263</v>
      </c>
      <c r="N48" s="10" t="s">
        <v>264</v>
      </c>
      <c r="O48" s="10" t="s">
        <v>33</v>
      </c>
    </row>
    <row r="49" customFormat="false" ht="15" hidden="false" customHeight="true" outlineLevel="0" collapsed="false">
      <c r="A49" s="7" t="s">
        <v>265</v>
      </c>
      <c r="B49" s="8" t="s">
        <v>175</v>
      </c>
      <c r="C49" s="8" t="s">
        <v>100</v>
      </c>
      <c r="D49" s="7" t="s">
        <v>266</v>
      </c>
      <c r="E49" s="7" t="s">
        <v>267</v>
      </c>
      <c r="F49" s="7" t="s">
        <v>24</v>
      </c>
      <c r="G49" s="7" t="s">
        <v>177</v>
      </c>
      <c r="H49" s="7" t="s">
        <v>178</v>
      </c>
      <c r="I49" s="9" t="s">
        <v>83</v>
      </c>
      <c r="J49" s="10" t="s">
        <v>268</v>
      </c>
      <c r="K49" s="9" t="s">
        <v>29</v>
      </c>
      <c r="L49" s="7" t="s">
        <v>86</v>
      </c>
      <c r="M49" s="10" t="s">
        <v>269</v>
      </c>
      <c r="N49" s="10" t="s">
        <v>270</v>
      </c>
      <c r="O49" s="10" t="s">
        <v>33</v>
      </c>
    </row>
    <row r="50" customFormat="false" ht="15" hidden="false" customHeight="true" outlineLevel="0" collapsed="false">
      <c r="A50" s="7" t="s">
        <v>271</v>
      </c>
      <c r="B50" s="8" t="s">
        <v>51</v>
      </c>
      <c r="C50" s="8" t="s">
        <v>272</v>
      </c>
      <c r="D50" s="7" t="s">
        <v>273</v>
      </c>
      <c r="E50" s="7" t="s">
        <v>267</v>
      </c>
      <c r="F50" s="7" t="s">
        <v>24</v>
      </c>
      <c r="G50" s="7" t="s">
        <v>54</v>
      </c>
      <c r="H50" s="7" t="s">
        <v>55</v>
      </c>
      <c r="I50" s="9" t="s">
        <v>56</v>
      </c>
      <c r="J50" s="10" t="s">
        <v>274</v>
      </c>
      <c r="K50" s="9" t="s">
        <v>29</v>
      </c>
      <c r="L50" s="7" t="s">
        <v>58</v>
      </c>
      <c r="M50" s="10" t="s">
        <v>275</v>
      </c>
      <c r="N50" s="10" t="s">
        <v>276</v>
      </c>
      <c r="O50" s="10" t="s">
        <v>33</v>
      </c>
    </row>
    <row r="51" customFormat="false" ht="15" hidden="false" customHeight="true" outlineLevel="0" collapsed="false">
      <c r="A51" s="7" t="s">
        <v>277</v>
      </c>
      <c r="B51" s="8" t="s">
        <v>126</v>
      </c>
      <c r="C51" s="8" t="s">
        <v>127</v>
      </c>
      <c r="D51" s="7" t="s">
        <v>278</v>
      </c>
      <c r="E51" s="7" t="s">
        <v>267</v>
      </c>
      <c r="F51" s="7" t="s">
        <v>74</v>
      </c>
      <c r="G51" s="7" t="s">
        <v>129</v>
      </c>
      <c r="H51" s="7" t="s">
        <v>138</v>
      </c>
      <c r="I51" s="9" t="s">
        <v>131</v>
      </c>
      <c r="J51" s="10" t="s">
        <v>279</v>
      </c>
      <c r="K51" s="9" t="s">
        <v>29</v>
      </c>
      <c r="L51" s="7" t="s">
        <v>139</v>
      </c>
      <c r="M51" s="10" t="s">
        <v>280</v>
      </c>
      <c r="N51" s="10" t="s">
        <v>281</v>
      </c>
      <c r="O51" s="10" t="s">
        <v>33</v>
      </c>
    </row>
    <row r="52" customFormat="false" ht="15" hidden="false" customHeight="true" outlineLevel="0" collapsed="false">
      <c r="A52" s="7" t="s">
        <v>282</v>
      </c>
      <c r="B52" s="8" t="s">
        <v>51</v>
      </c>
      <c r="C52" s="8" t="s">
        <v>124</v>
      </c>
      <c r="D52" s="7" t="s">
        <v>283</v>
      </c>
      <c r="E52" s="7" t="s">
        <v>267</v>
      </c>
      <c r="F52" s="7" t="s">
        <v>24</v>
      </c>
      <c r="G52" s="7" t="s">
        <v>54</v>
      </c>
      <c r="H52" s="7" t="s">
        <v>55</v>
      </c>
      <c r="I52" s="9" t="s">
        <v>56</v>
      </c>
      <c r="J52" s="10" t="s">
        <v>274</v>
      </c>
      <c r="K52" s="9" t="s">
        <v>29</v>
      </c>
      <c r="L52" s="7" t="s">
        <v>58</v>
      </c>
      <c r="M52" s="10" t="s">
        <v>284</v>
      </c>
      <c r="N52" s="10" t="s">
        <v>285</v>
      </c>
      <c r="O52" s="10" t="s">
        <v>33</v>
      </c>
    </row>
    <row r="53" customFormat="false" ht="15" hidden="false" customHeight="true" outlineLevel="0" collapsed="false">
      <c r="A53" s="7" t="s">
        <v>286</v>
      </c>
      <c r="B53" s="8" t="s">
        <v>51</v>
      </c>
      <c r="C53" s="8" t="s">
        <v>124</v>
      </c>
      <c r="D53" s="7" t="s">
        <v>287</v>
      </c>
      <c r="E53" s="7" t="s">
        <v>267</v>
      </c>
      <c r="F53" s="7" t="s">
        <v>24</v>
      </c>
      <c r="G53" s="7" t="s">
        <v>129</v>
      </c>
      <c r="H53" s="7" t="s">
        <v>138</v>
      </c>
      <c r="I53" s="9" t="s">
        <v>131</v>
      </c>
      <c r="J53" s="10" t="s">
        <v>279</v>
      </c>
      <c r="K53" s="9" t="s">
        <v>29</v>
      </c>
      <c r="L53" s="7" t="s">
        <v>139</v>
      </c>
      <c r="M53" s="10" t="s">
        <v>288</v>
      </c>
      <c r="N53" s="10" t="s">
        <v>289</v>
      </c>
      <c r="O53" s="10" t="s">
        <v>33</v>
      </c>
    </row>
    <row r="54" customFormat="false" ht="15" hidden="false" customHeight="true" outlineLevel="0" collapsed="false">
      <c r="A54" s="7" t="s">
        <v>290</v>
      </c>
      <c r="B54" s="8" t="s">
        <v>79</v>
      </c>
      <c r="C54" s="8" t="s">
        <v>291</v>
      </c>
      <c r="D54" s="7" t="s">
        <v>292</v>
      </c>
      <c r="E54" s="7" t="s">
        <v>267</v>
      </c>
      <c r="F54" s="7" t="s">
        <v>24</v>
      </c>
      <c r="G54" s="7" t="s">
        <v>293</v>
      </c>
      <c r="H54" s="7" t="s">
        <v>82</v>
      </c>
      <c r="I54" s="9" t="s">
        <v>83</v>
      </c>
      <c r="J54" s="10" t="s">
        <v>268</v>
      </c>
      <c r="K54" s="9" t="s">
        <v>29</v>
      </c>
      <c r="L54" s="7" t="s">
        <v>86</v>
      </c>
      <c r="M54" s="10" t="s">
        <v>294</v>
      </c>
      <c r="N54" s="10" t="s">
        <v>295</v>
      </c>
      <c r="O54" s="10" t="s">
        <v>33</v>
      </c>
    </row>
    <row r="55" customFormat="false" ht="21.75" hidden="false" customHeight="true" outlineLevel="0" collapsed="false">
      <c r="A55" s="7" t="s">
        <v>296</v>
      </c>
      <c r="B55" s="8" t="s">
        <v>51</v>
      </c>
      <c r="C55" s="8" t="s">
        <v>124</v>
      </c>
      <c r="D55" s="7" t="s">
        <v>297</v>
      </c>
      <c r="E55" s="7" t="s">
        <v>298</v>
      </c>
      <c r="F55" s="7" t="s">
        <v>24</v>
      </c>
      <c r="G55" s="7" t="s">
        <v>54</v>
      </c>
      <c r="H55" s="7" t="s">
        <v>262</v>
      </c>
      <c r="I55" s="9" t="s">
        <v>56</v>
      </c>
      <c r="J55" s="10" t="s">
        <v>274</v>
      </c>
      <c r="K55" s="9" t="s">
        <v>29</v>
      </c>
      <c r="L55" s="7" t="s">
        <v>58</v>
      </c>
      <c r="M55" s="10" t="s">
        <v>299</v>
      </c>
      <c r="N55" s="10" t="s">
        <v>300</v>
      </c>
      <c r="O55" s="10" t="s">
        <v>33</v>
      </c>
    </row>
    <row r="56" customFormat="false" ht="21.75" hidden="false" customHeight="true" outlineLevel="0" collapsed="false">
      <c r="A56" s="7" t="s">
        <v>301</v>
      </c>
      <c r="B56" s="8" t="s">
        <v>175</v>
      </c>
      <c r="C56" s="8" t="s">
        <v>183</v>
      </c>
      <c r="D56" s="7" t="s">
        <v>302</v>
      </c>
      <c r="E56" s="7" t="s">
        <v>298</v>
      </c>
      <c r="F56" s="7" t="s">
        <v>24</v>
      </c>
      <c r="G56" s="7" t="s">
        <v>177</v>
      </c>
      <c r="H56" s="7" t="s">
        <v>178</v>
      </c>
      <c r="I56" s="9" t="s">
        <v>83</v>
      </c>
      <c r="J56" s="10" t="s">
        <v>268</v>
      </c>
      <c r="K56" s="9" t="s">
        <v>29</v>
      </c>
      <c r="L56" s="7" t="s">
        <v>86</v>
      </c>
      <c r="M56" s="10" t="s">
        <v>299</v>
      </c>
      <c r="N56" s="10" t="s">
        <v>303</v>
      </c>
      <c r="O56" s="10" t="s">
        <v>33</v>
      </c>
    </row>
    <row r="57" customFormat="false" ht="15" hidden="false" customHeight="true" outlineLevel="0" collapsed="false">
      <c r="A57" s="7" t="s">
        <v>304</v>
      </c>
      <c r="B57" s="8" t="s">
        <v>20</v>
      </c>
      <c r="C57" s="8" t="s">
        <v>305</v>
      </c>
      <c r="D57" s="7" t="s">
        <v>306</v>
      </c>
      <c r="E57" s="7" t="s">
        <v>23</v>
      </c>
      <c r="F57" s="7" t="s">
        <v>24</v>
      </c>
      <c r="G57" s="7" t="s">
        <v>231</v>
      </c>
      <c r="H57" s="7" t="s">
        <v>307</v>
      </c>
      <c r="I57" s="9" t="s">
        <v>213</v>
      </c>
      <c r="J57" s="10" t="s">
        <v>214</v>
      </c>
      <c r="K57" s="9" t="s">
        <v>29</v>
      </c>
      <c r="L57" s="7" t="s">
        <v>215</v>
      </c>
      <c r="M57" s="10" t="s">
        <v>308</v>
      </c>
      <c r="N57" s="10" t="s">
        <v>309</v>
      </c>
      <c r="O57" s="10" t="s">
        <v>33</v>
      </c>
    </row>
    <row r="58" customFormat="false" ht="15" hidden="false" customHeight="true" outlineLevel="0" collapsed="false">
      <c r="A58" s="7" t="s">
        <v>310</v>
      </c>
      <c r="B58" s="8" t="s">
        <v>20</v>
      </c>
      <c r="C58" s="8" t="s">
        <v>311</v>
      </c>
      <c r="D58" s="7" t="s">
        <v>312</v>
      </c>
      <c r="E58" s="7" t="s">
        <v>23</v>
      </c>
      <c r="F58" s="7" t="s">
        <v>24</v>
      </c>
      <c r="G58" s="7" t="s">
        <v>211</v>
      </c>
      <c r="H58" s="7" t="s">
        <v>313</v>
      </c>
      <c r="I58" s="9" t="s">
        <v>213</v>
      </c>
      <c r="J58" s="10" t="s">
        <v>214</v>
      </c>
      <c r="K58" s="9" t="s">
        <v>29</v>
      </c>
      <c r="L58" s="7" t="s">
        <v>215</v>
      </c>
      <c r="M58" s="10" t="s">
        <v>314</v>
      </c>
      <c r="N58" s="10" t="s">
        <v>315</v>
      </c>
      <c r="O58" s="10" t="s">
        <v>33</v>
      </c>
    </row>
    <row r="59" customFormat="false" ht="15" hidden="false" customHeight="true" outlineLevel="0" collapsed="false">
      <c r="A59" s="7" t="s">
        <v>316</v>
      </c>
      <c r="B59" s="8" t="s">
        <v>20</v>
      </c>
      <c r="C59" s="8" t="s">
        <v>305</v>
      </c>
      <c r="D59" s="7" t="s">
        <v>317</v>
      </c>
      <c r="E59" s="7" t="s">
        <v>23</v>
      </c>
      <c r="F59" s="7" t="s">
        <v>74</v>
      </c>
      <c r="G59" s="7" t="s">
        <v>211</v>
      </c>
      <c r="H59" s="7" t="s">
        <v>47</v>
      </c>
      <c r="I59" s="9" t="s">
        <v>213</v>
      </c>
      <c r="J59" s="10" t="s">
        <v>214</v>
      </c>
      <c r="K59" s="9" t="s">
        <v>29</v>
      </c>
      <c r="L59" s="7" t="s">
        <v>215</v>
      </c>
      <c r="M59" s="10" t="s">
        <v>318</v>
      </c>
      <c r="N59" s="10" t="s">
        <v>319</v>
      </c>
      <c r="O59" s="10" t="s">
        <v>33</v>
      </c>
    </row>
    <row r="60" customFormat="false" ht="15" hidden="false" customHeight="true" outlineLevel="0" collapsed="false">
      <c r="A60" s="7" t="s">
        <v>320</v>
      </c>
      <c r="B60" s="8" t="s">
        <v>20</v>
      </c>
      <c r="C60" s="8" t="s">
        <v>305</v>
      </c>
      <c r="D60" s="7" t="s">
        <v>321</v>
      </c>
      <c r="E60" s="7" t="s">
        <v>23</v>
      </c>
      <c r="F60" s="7" t="s">
        <v>74</v>
      </c>
      <c r="G60" s="7" t="s">
        <v>211</v>
      </c>
      <c r="H60" s="7" t="s">
        <v>47</v>
      </c>
      <c r="I60" s="9" t="s">
        <v>213</v>
      </c>
      <c r="J60" s="10" t="s">
        <v>214</v>
      </c>
      <c r="K60" s="9" t="s">
        <v>29</v>
      </c>
      <c r="L60" s="7" t="s">
        <v>215</v>
      </c>
      <c r="M60" s="10" t="s">
        <v>322</v>
      </c>
      <c r="N60" s="10" t="s">
        <v>323</v>
      </c>
      <c r="O60" s="10" t="s">
        <v>33</v>
      </c>
    </row>
    <row r="61" customFormat="false" ht="15" hidden="false" customHeight="true" outlineLevel="0" collapsed="false">
      <c r="A61" s="7" t="s">
        <v>324</v>
      </c>
      <c r="B61" s="8" t="s">
        <v>51</v>
      </c>
      <c r="C61" s="8" t="s">
        <v>325</v>
      </c>
      <c r="D61" s="7" t="s">
        <v>326</v>
      </c>
      <c r="E61" s="7" t="s">
        <v>23</v>
      </c>
      <c r="F61" s="7" t="s">
        <v>24</v>
      </c>
      <c r="G61" s="7" t="s">
        <v>45</v>
      </c>
      <c r="H61" s="7" t="s">
        <v>327</v>
      </c>
      <c r="I61" s="9" t="s">
        <v>56</v>
      </c>
      <c r="J61" s="10" t="s">
        <v>57</v>
      </c>
      <c r="K61" s="9" t="s">
        <v>29</v>
      </c>
      <c r="L61" s="7" t="s">
        <v>215</v>
      </c>
      <c r="M61" s="10" t="s">
        <v>328</v>
      </c>
      <c r="N61" s="10" t="s">
        <v>329</v>
      </c>
      <c r="O61" s="10" t="s">
        <v>33</v>
      </c>
    </row>
    <row r="62" customFormat="false" ht="15" hidden="false" customHeight="true" outlineLevel="0" collapsed="false">
      <c r="A62" s="7" t="s">
        <v>330</v>
      </c>
      <c r="B62" s="8" t="s">
        <v>51</v>
      </c>
      <c r="C62" s="8" t="s">
        <v>331</v>
      </c>
      <c r="D62" s="7" t="s">
        <v>332</v>
      </c>
      <c r="E62" s="7" t="s">
        <v>23</v>
      </c>
      <c r="F62" s="7" t="s">
        <v>24</v>
      </c>
      <c r="G62" s="7" t="s">
        <v>45</v>
      </c>
      <c r="H62" s="7" t="s">
        <v>333</v>
      </c>
      <c r="I62" s="9" t="s">
        <v>56</v>
      </c>
      <c r="J62" s="10" t="s">
        <v>57</v>
      </c>
      <c r="K62" s="9" t="s">
        <v>29</v>
      </c>
      <c r="L62" s="7" t="s">
        <v>215</v>
      </c>
      <c r="M62" s="10" t="s">
        <v>334</v>
      </c>
      <c r="N62" s="10" t="s">
        <v>335</v>
      </c>
      <c r="O62" s="10" t="s">
        <v>33</v>
      </c>
    </row>
    <row r="63" customFormat="false" ht="15" hidden="false" customHeight="true" outlineLevel="0" collapsed="false">
      <c r="A63" s="7" t="s">
        <v>336</v>
      </c>
      <c r="B63" s="8" t="s">
        <v>20</v>
      </c>
      <c r="C63" s="8" t="s">
        <v>337</v>
      </c>
      <c r="D63" s="7" t="s">
        <v>338</v>
      </c>
      <c r="E63" s="7" t="s">
        <v>23</v>
      </c>
      <c r="F63" s="7" t="s">
        <v>24</v>
      </c>
      <c r="G63" s="7" t="s">
        <v>45</v>
      </c>
      <c r="H63" s="7" t="s">
        <v>339</v>
      </c>
      <c r="I63" s="9" t="s">
        <v>56</v>
      </c>
      <c r="J63" s="10" t="s">
        <v>57</v>
      </c>
      <c r="K63" s="9" t="s">
        <v>29</v>
      </c>
      <c r="L63" s="7" t="s">
        <v>215</v>
      </c>
      <c r="M63" s="10" t="s">
        <v>340</v>
      </c>
      <c r="N63" s="10" t="s">
        <v>341</v>
      </c>
      <c r="O63" s="10" t="s">
        <v>33</v>
      </c>
    </row>
    <row r="64" customFormat="false" ht="15" hidden="false" customHeight="true" outlineLevel="0" collapsed="false">
      <c r="A64" s="7" t="n">
        <v>56</v>
      </c>
      <c r="B64" s="8" t="s">
        <v>342</v>
      </c>
      <c r="C64" s="8" t="s">
        <v>93</v>
      </c>
      <c r="D64" s="11" t="s">
        <v>343</v>
      </c>
      <c r="E64" s="7" t="s">
        <v>344</v>
      </c>
      <c r="F64" s="7" t="s">
        <v>24</v>
      </c>
      <c r="G64" s="7" t="s">
        <v>81</v>
      </c>
      <c r="H64" s="7" t="s">
        <v>47</v>
      </c>
      <c r="I64" s="9" t="s">
        <v>83</v>
      </c>
      <c r="J64" s="10" t="s">
        <v>84</v>
      </c>
      <c r="K64" s="9" t="s">
        <v>345</v>
      </c>
      <c r="L64" s="7" t="s">
        <v>86</v>
      </c>
      <c r="M64" s="10" t="s">
        <v>346</v>
      </c>
      <c r="N64" s="10" t="s">
        <v>347</v>
      </c>
      <c r="O64" s="10" t="s">
        <v>33</v>
      </c>
    </row>
    <row r="65" customFormat="false" ht="15" hidden="false" customHeight="true" outlineLevel="0" collapsed="false">
      <c r="A65" s="7" t="n">
        <v>57</v>
      </c>
      <c r="B65" s="8" t="s">
        <v>342</v>
      </c>
      <c r="C65" s="8" t="s">
        <v>93</v>
      </c>
      <c r="D65" s="11" t="s">
        <v>348</v>
      </c>
      <c r="E65" s="7" t="s">
        <v>344</v>
      </c>
      <c r="F65" s="7" t="s">
        <v>24</v>
      </c>
      <c r="G65" s="7" t="s">
        <v>81</v>
      </c>
      <c r="H65" s="7" t="s">
        <v>47</v>
      </c>
      <c r="I65" s="9" t="s">
        <v>83</v>
      </c>
      <c r="J65" s="10" t="s">
        <v>84</v>
      </c>
      <c r="K65" s="9" t="s">
        <v>29</v>
      </c>
      <c r="L65" s="7" t="s">
        <v>86</v>
      </c>
      <c r="M65" s="10" t="s">
        <v>346</v>
      </c>
      <c r="N65" s="10" t="s">
        <v>349</v>
      </c>
      <c r="O65" s="10" t="s">
        <v>33</v>
      </c>
    </row>
    <row r="66" customFormat="false" ht="15" hidden="false" customHeight="true" outlineLevel="0" collapsed="false">
      <c r="A66" s="7" t="n">
        <v>58</v>
      </c>
      <c r="B66" s="8" t="s">
        <v>350</v>
      </c>
      <c r="C66" s="8" t="s">
        <v>351</v>
      </c>
      <c r="D66" s="11" t="s">
        <v>352</v>
      </c>
      <c r="E66" s="7" t="s">
        <v>344</v>
      </c>
      <c r="F66" s="7" t="s">
        <v>24</v>
      </c>
      <c r="G66" s="7" t="s">
        <v>293</v>
      </c>
      <c r="H66" s="7" t="s">
        <v>47</v>
      </c>
      <c r="I66" s="9" t="s">
        <v>83</v>
      </c>
      <c r="J66" s="10" t="s">
        <v>84</v>
      </c>
      <c r="K66" s="9" t="s">
        <v>353</v>
      </c>
      <c r="L66" s="7" t="s">
        <v>86</v>
      </c>
      <c r="M66" s="10" t="s">
        <v>346</v>
      </c>
      <c r="N66" s="10" t="s">
        <v>354</v>
      </c>
      <c r="O66" s="10" t="s">
        <v>33</v>
      </c>
    </row>
    <row r="67" customFormat="false" ht="15" hidden="false" customHeight="true" outlineLevel="0" collapsed="false">
      <c r="A67" s="7" t="n">
        <v>59</v>
      </c>
      <c r="B67" s="8" t="s">
        <v>355</v>
      </c>
      <c r="C67" s="8" t="s">
        <v>100</v>
      </c>
      <c r="D67" s="11" t="s">
        <v>356</v>
      </c>
      <c r="E67" s="7" t="s">
        <v>344</v>
      </c>
      <c r="F67" s="7" t="s">
        <v>24</v>
      </c>
      <c r="G67" s="7" t="s">
        <v>177</v>
      </c>
      <c r="H67" s="7" t="s">
        <v>47</v>
      </c>
      <c r="I67" s="9" t="s">
        <v>188</v>
      </c>
      <c r="J67" s="10" t="s">
        <v>189</v>
      </c>
      <c r="K67" s="9" t="s">
        <v>357</v>
      </c>
      <c r="L67" s="7" t="s">
        <v>86</v>
      </c>
      <c r="M67" s="10" t="s">
        <v>346</v>
      </c>
      <c r="N67" s="10" t="s">
        <v>358</v>
      </c>
      <c r="O67" s="10" t="s">
        <v>33</v>
      </c>
    </row>
    <row r="68" customFormat="false" ht="15" hidden="false" customHeight="true" outlineLevel="0" collapsed="false">
      <c r="A68" s="7" t="n">
        <v>60</v>
      </c>
      <c r="B68" s="8" t="s">
        <v>355</v>
      </c>
      <c r="C68" s="8" t="s">
        <v>100</v>
      </c>
      <c r="D68" s="11" t="s">
        <v>359</v>
      </c>
      <c r="E68" s="7" t="s">
        <v>344</v>
      </c>
      <c r="F68" s="7" t="s">
        <v>24</v>
      </c>
      <c r="G68" s="7" t="s">
        <v>177</v>
      </c>
      <c r="H68" s="7" t="s">
        <v>47</v>
      </c>
      <c r="I68" s="9" t="s">
        <v>188</v>
      </c>
      <c r="J68" s="10" t="s">
        <v>189</v>
      </c>
      <c r="K68" s="9" t="s">
        <v>360</v>
      </c>
      <c r="L68" s="7" t="s">
        <v>86</v>
      </c>
      <c r="M68" s="10" t="s">
        <v>346</v>
      </c>
      <c r="N68" s="10" t="s">
        <v>361</v>
      </c>
      <c r="O68" s="10" t="s">
        <v>33</v>
      </c>
    </row>
    <row r="69" customFormat="false" ht="15" hidden="false" customHeight="true" outlineLevel="0" collapsed="false">
      <c r="A69" s="7" t="n">
        <v>61</v>
      </c>
      <c r="B69" s="8" t="s">
        <v>350</v>
      </c>
      <c r="C69" s="8" t="s">
        <v>100</v>
      </c>
      <c r="D69" s="11" t="s">
        <v>362</v>
      </c>
      <c r="E69" s="7" t="s">
        <v>344</v>
      </c>
      <c r="F69" s="7" t="s">
        <v>24</v>
      </c>
      <c r="G69" s="7" t="s">
        <v>195</v>
      </c>
      <c r="H69" s="7" t="s">
        <v>47</v>
      </c>
      <c r="I69" s="9" t="s">
        <v>188</v>
      </c>
      <c r="J69" s="10" t="s">
        <v>189</v>
      </c>
      <c r="K69" s="9" t="s">
        <v>363</v>
      </c>
      <c r="L69" s="7" t="s">
        <v>139</v>
      </c>
      <c r="M69" s="10" t="s">
        <v>346</v>
      </c>
      <c r="N69" s="10" t="s">
        <v>364</v>
      </c>
      <c r="O69" s="10" t="s">
        <v>33</v>
      </c>
    </row>
    <row r="70" customFormat="false" ht="21.75" hidden="false" customHeight="true" outlineLevel="0" collapsed="false">
      <c r="A70" s="7" t="n">
        <v>62</v>
      </c>
      <c r="B70" s="8" t="s">
        <v>342</v>
      </c>
      <c r="C70" s="8" t="s">
        <v>266</v>
      </c>
      <c r="D70" s="11" t="s">
        <v>365</v>
      </c>
      <c r="E70" s="7" t="s">
        <v>366</v>
      </c>
      <c r="F70" s="7" t="s">
        <v>24</v>
      </c>
      <c r="G70" s="7" t="s">
        <v>81</v>
      </c>
      <c r="H70" s="7" t="s">
        <v>47</v>
      </c>
      <c r="I70" s="9" t="s">
        <v>83</v>
      </c>
      <c r="J70" s="10" t="s">
        <v>268</v>
      </c>
      <c r="K70" s="9" t="s">
        <v>29</v>
      </c>
      <c r="L70" s="7" t="s">
        <v>29</v>
      </c>
      <c r="M70" s="10" t="s">
        <v>346</v>
      </c>
      <c r="N70" s="10" t="s">
        <v>367</v>
      </c>
      <c r="O70" s="10" t="s">
        <v>33</v>
      </c>
    </row>
    <row r="71" customFormat="false" ht="21.75" hidden="false" customHeight="true" outlineLevel="0" collapsed="false">
      <c r="A71" s="7" t="n">
        <v>63</v>
      </c>
      <c r="B71" s="8" t="s">
        <v>342</v>
      </c>
      <c r="C71" s="8" t="s">
        <v>368</v>
      </c>
      <c r="D71" s="11" t="s">
        <v>369</v>
      </c>
      <c r="E71" s="7" t="s">
        <v>366</v>
      </c>
      <c r="F71" s="7" t="s">
        <v>24</v>
      </c>
      <c r="G71" s="7" t="s">
        <v>81</v>
      </c>
      <c r="H71" s="7" t="s">
        <v>47</v>
      </c>
      <c r="I71" s="9" t="s">
        <v>83</v>
      </c>
      <c r="J71" s="10" t="s">
        <v>268</v>
      </c>
      <c r="K71" s="9" t="s">
        <v>29</v>
      </c>
      <c r="L71" s="7" t="s">
        <v>29</v>
      </c>
      <c r="M71" s="10" t="s">
        <v>346</v>
      </c>
      <c r="N71" s="10" t="s">
        <v>370</v>
      </c>
      <c r="O71" s="10" t="s">
        <v>33</v>
      </c>
    </row>
    <row r="72" customFormat="false" ht="21.75" hidden="false" customHeight="true" outlineLevel="0" collapsed="false">
      <c r="A72" s="7" t="n">
        <v>64</v>
      </c>
      <c r="B72" s="8" t="s">
        <v>51</v>
      </c>
      <c r="C72" s="8" t="s">
        <v>371</v>
      </c>
      <c r="D72" s="11" t="s">
        <v>372</v>
      </c>
      <c r="E72" s="7" t="s">
        <v>366</v>
      </c>
      <c r="F72" s="7" t="s">
        <v>24</v>
      </c>
      <c r="G72" s="7" t="s">
        <v>81</v>
      </c>
      <c r="H72" s="7" t="s">
        <v>47</v>
      </c>
      <c r="I72" s="9" t="s">
        <v>83</v>
      </c>
      <c r="J72" s="10" t="s">
        <v>268</v>
      </c>
      <c r="K72" s="9" t="s">
        <v>29</v>
      </c>
      <c r="L72" s="7" t="s">
        <v>29</v>
      </c>
      <c r="M72" s="10" t="s">
        <v>346</v>
      </c>
      <c r="N72" s="10" t="s">
        <v>373</v>
      </c>
      <c r="O72" s="10" t="s">
        <v>33</v>
      </c>
    </row>
    <row r="73" customFormat="false" ht="21.75" hidden="false" customHeight="true" outlineLevel="0" collapsed="false">
      <c r="A73" s="7" t="n">
        <v>65</v>
      </c>
      <c r="B73" s="8" t="s">
        <v>350</v>
      </c>
      <c r="C73" s="8" t="s">
        <v>374</v>
      </c>
      <c r="D73" s="11" t="s">
        <v>375</v>
      </c>
      <c r="E73" s="7" t="s">
        <v>366</v>
      </c>
      <c r="F73" s="7" t="s">
        <v>24</v>
      </c>
      <c r="G73" s="7" t="s">
        <v>81</v>
      </c>
      <c r="H73" s="7" t="s">
        <v>47</v>
      </c>
      <c r="I73" s="9" t="s">
        <v>83</v>
      </c>
      <c r="J73" s="10" t="s">
        <v>268</v>
      </c>
      <c r="K73" s="9" t="s">
        <v>29</v>
      </c>
      <c r="L73" s="7" t="s">
        <v>29</v>
      </c>
      <c r="M73" s="10" t="s">
        <v>346</v>
      </c>
      <c r="N73" s="10" t="s">
        <v>376</v>
      </c>
      <c r="O73" s="10" t="s">
        <v>33</v>
      </c>
    </row>
    <row r="74" customFormat="false" ht="21.75" hidden="false" customHeight="true" outlineLevel="0" collapsed="false">
      <c r="A74" s="7" t="n">
        <v>66</v>
      </c>
      <c r="B74" s="8" t="s">
        <v>51</v>
      </c>
      <c r="C74" s="8" t="s">
        <v>374</v>
      </c>
      <c r="D74" s="11" t="s">
        <v>377</v>
      </c>
      <c r="E74" s="7" t="s">
        <v>366</v>
      </c>
      <c r="F74" s="7" t="s">
        <v>24</v>
      </c>
      <c r="G74" s="7" t="s">
        <v>81</v>
      </c>
      <c r="H74" s="7" t="s">
        <v>47</v>
      </c>
      <c r="I74" s="9" t="s">
        <v>83</v>
      </c>
      <c r="J74" s="10" t="s">
        <v>268</v>
      </c>
      <c r="K74" s="9" t="s">
        <v>29</v>
      </c>
      <c r="L74" s="7" t="s">
        <v>29</v>
      </c>
      <c r="M74" s="10" t="s">
        <v>346</v>
      </c>
      <c r="N74" s="10" t="s">
        <v>378</v>
      </c>
      <c r="O74" s="10" t="s">
        <v>33</v>
      </c>
    </row>
    <row r="75" customFormat="false" ht="21.75" hidden="false" customHeight="true" outlineLevel="0" collapsed="false">
      <c r="A75" s="7" t="n">
        <v>67</v>
      </c>
      <c r="B75" s="8" t="s">
        <v>342</v>
      </c>
      <c r="C75" s="8" t="s">
        <v>292</v>
      </c>
      <c r="D75" s="11" t="s">
        <v>379</v>
      </c>
      <c r="E75" s="7" t="s">
        <v>366</v>
      </c>
      <c r="F75" s="7" t="s">
        <v>24</v>
      </c>
      <c r="G75" s="7" t="s">
        <v>293</v>
      </c>
      <c r="H75" s="7" t="s">
        <v>47</v>
      </c>
      <c r="I75" s="9" t="s">
        <v>83</v>
      </c>
      <c r="J75" s="10" t="s">
        <v>268</v>
      </c>
      <c r="K75" s="9" t="s">
        <v>29</v>
      </c>
      <c r="L75" s="7" t="s">
        <v>86</v>
      </c>
      <c r="M75" s="10" t="s">
        <v>346</v>
      </c>
      <c r="N75" s="10" t="s">
        <v>380</v>
      </c>
      <c r="O75" s="10" t="s">
        <v>33</v>
      </c>
    </row>
    <row r="76" customFormat="false" ht="21.75" hidden="false" customHeight="true" outlineLevel="0" collapsed="false">
      <c r="A76" s="7" t="n">
        <v>68</v>
      </c>
      <c r="B76" s="8" t="s">
        <v>355</v>
      </c>
      <c r="C76" s="8" t="s">
        <v>100</v>
      </c>
      <c r="D76" s="11" t="s">
        <v>381</v>
      </c>
      <c r="E76" s="7" t="s">
        <v>366</v>
      </c>
      <c r="F76" s="7" t="s">
        <v>24</v>
      </c>
      <c r="G76" s="7" t="s">
        <v>177</v>
      </c>
      <c r="H76" s="7" t="s">
        <v>47</v>
      </c>
      <c r="I76" s="9" t="s">
        <v>188</v>
      </c>
      <c r="J76" s="10" t="s">
        <v>382</v>
      </c>
      <c r="K76" s="9" t="s">
        <v>29</v>
      </c>
      <c r="L76" s="7" t="s">
        <v>29</v>
      </c>
      <c r="M76" s="10" t="s">
        <v>346</v>
      </c>
      <c r="N76" s="10" t="s">
        <v>383</v>
      </c>
      <c r="O76" s="10" t="s">
        <v>33</v>
      </c>
    </row>
    <row r="77" customFormat="false" ht="21.75" hidden="false" customHeight="true" outlineLevel="0" collapsed="false">
      <c r="A77" s="7" t="n">
        <v>69</v>
      </c>
      <c r="B77" s="8" t="s">
        <v>355</v>
      </c>
      <c r="C77" s="8" t="s">
        <v>100</v>
      </c>
      <c r="D77" s="11" t="s">
        <v>384</v>
      </c>
      <c r="E77" s="7" t="s">
        <v>366</v>
      </c>
      <c r="F77" s="7" t="s">
        <v>24</v>
      </c>
      <c r="G77" s="7" t="s">
        <v>177</v>
      </c>
      <c r="H77" s="7" t="s">
        <v>47</v>
      </c>
      <c r="I77" s="9" t="s">
        <v>188</v>
      </c>
      <c r="J77" s="10" t="s">
        <v>382</v>
      </c>
      <c r="K77" s="9" t="s">
        <v>29</v>
      </c>
      <c r="L77" s="7" t="s">
        <v>29</v>
      </c>
      <c r="M77" s="10" t="s">
        <v>346</v>
      </c>
      <c r="N77" s="10" t="s">
        <v>385</v>
      </c>
      <c r="O77" s="10" t="s">
        <v>33</v>
      </c>
    </row>
    <row r="78" customFormat="false" ht="21.75" hidden="false" customHeight="true" outlineLevel="0" collapsed="false">
      <c r="A78" s="7" t="n">
        <v>70</v>
      </c>
      <c r="B78" s="8" t="s">
        <v>350</v>
      </c>
      <c r="C78" s="8" t="s">
        <v>371</v>
      </c>
      <c r="D78" s="11" t="s">
        <v>386</v>
      </c>
      <c r="E78" s="7" t="s">
        <v>366</v>
      </c>
      <c r="F78" s="7" t="s">
        <v>24</v>
      </c>
      <c r="G78" s="7" t="s">
        <v>177</v>
      </c>
      <c r="H78" s="7" t="s">
        <v>47</v>
      </c>
      <c r="I78" s="9" t="s">
        <v>188</v>
      </c>
      <c r="J78" s="10" t="s">
        <v>382</v>
      </c>
      <c r="K78" s="9" t="s">
        <v>29</v>
      </c>
      <c r="L78" s="7" t="s">
        <v>29</v>
      </c>
      <c r="M78" s="10" t="s">
        <v>346</v>
      </c>
      <c r="N78" s="10" t="s">
        <v>387</v>
      </c>
      <c r="O78" s="10" t="s">
        <v>33</v>
      </c>
    </row>
    <row r="79" customFormat="false" ht="21.75" hidden="false" customHeight="true" outlineLevel="0" collapsed="false">
      <c r="A79" s="7" t="n">
        <v>71</v>
      </c>
      <c r="B79" s="8" t="s">
        <v>51</v>
      </c>
      <c r="C79" s="8" t="s">
        <v>200</v>
      </c>
      <c r="D79" s="11" t="s">
        <v>388</v>
      </c>
      <c r="E79" s="7" t="s">
        <v>366</v>
      </c>
      <c r="F79" s="7" t="s">
        <v>24</v>
      </c>
      <c r="G79" s="7" t="s">
        <v>195</v>
      </c>
      <c r="H79" s="7" t="s">
        <v>47</v>
      </c>
      <c r="I79" s="9" t="s">
        <v>188</v>
      </c>
      <c r="J79" s="10" t="s">
        <v>382</v>
      </c>
      <c r="K79" s="9" t="s">
        <v>29</v>
      </c>
      <c r="L79" s="7" t="s">
        <v>29</v>
      </c>
      <c r="M79" s="10" t="s">
        <v>346</v>
      </c>
      <c r="N79" s="10" t="s">
        <v>389</v>
      </c>
      <c r="O79" s="10" t="s">
        <v>33</v>
      </c>
    </row>
    <row r="80" customFormat="false" ht="21.75" hidden="false" customHeight="true" outlineLevel="0" collapsed="false">
      <c r="A80" s="7" t="n">
        <v>72</v>
      </c>
      <c r="B80" s="8" t="s">
        <v>350</v>
      </c>
      <c r="C80" s="8" t="s">
        <v>390</v>
      </c>
      <c r="D80" s="11" t="s">
        <v>391</v>
      </c>
      <c r="E80" s="7" t="s">
        <v>366</v>
      </c>
      <c r="F80" s="7" t="s">
        <v>24</v>
      </c>
      <c r="G80" s="7" t="s">
        <v>195</v>
      </c>
      <c r="H80" s="7" t="s">
        <v>47</v>
      </c>
      <c r="I80" s="9" t="s">
        <v>188</v>
      </c>
      <c r="J80" s="10" t="s">
        <v>382</v>
      </c>
      <c r="K80" s="9" t="s">
        <v>29</v>
      </c>
      <c r="L80" s="7" t="s">
        <v>29</v>
      </c>
      <c r="M80" s="10" t="s">
        <v>346</v>
      </c>
      <c r="N80" s="10" t="s">
        <v>392</v>
      </c>
      <c r="O80" s="10" t="s">
        <v>33</v>
      </c>
    </row>
    <row r="81" customFormat="false" ht="21.75" hidden="false" customHeight="true" outlineLevel="0" collapsed="false">
      <c r="A81" s="7" t="n">
        <v>73</v>
      </c>
      <c r="B81" s="8" t="s">
        <v>350</v>
      </c>
      <c r="C81" s="8" t="s">
        <v>292</v>
      </c>
      <c r="D81" s="11" t="s">
        <v>393</v>
      </c>
      <c r="E81" s="7" t="s">
        <v>366</v>
      </c>
      <c r="F81" s="7" t="s">
        <v>24</v>
      </c>
      <c r="G81" s="7" t="s">
        <v>293</v>
      </c>
      <c r="H81" s="7" t="s">
        <v>47</v>
      </c>
      <c r="I81" s="9" t="s">
        <v>188</v>
      </c>
      <c r="J81" s="10" t="s">
        <v>382</v>
      </c>
      <c r="K81" s="9" t="s">
        <v>29</v>
      </c>
      <c r="L81" s="7" t="s">
        <v>139</v>
      </c>
      <c r="M81" s="10" t="s">
        <v>346</v>
      </c>
      <c r="N81" s="10" t="s">
        <v>394</v>
      </c>
      <c r="O81" s="10" t="s">
        <v>33</v>
      </c>
    </row>
  </sheetData>
  <autoFilter ref="A8:O81"/>
  <mergeCells count="1">
    <mergeCell ref="B3:N5"/>
  </mergeCells>
  <dataValidations count="1">
    <dataValidation allowBlank="false" errorStyle="stop" operator="between" showDropDown="false" showErrorMessage="false" showInputMessage="false" sqref="O9:O63" type="list">
      <formula1>"Completa,Parcial,Huérfana"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94"/>
  </cols>
  <sheetData>
    <row r="1" customFormat="false" ht="15" hidden="false" customHeight="true" outlineLevel="0" collapsed="false">
      <c r="A1" s="12" t="s">
        <v>395</v>
      </c>
    </row>
    <row r="2" customFormat="false" ht="42.75" hidden="false" customHeight="true" outlineLevel="0" collapsed="false">
      <c r="A2" s="13" t="s">
        <v>396</v>
      </c>
      <c r="B2" s="5"/>
      <c r="C2" s="5"/>
      <c r="D2" s="5"/>
    </row>
    <row r="4" customFormat="false" ht="15" hidden="false" customHeight="true" outlineLevel="0" collapsed="false">
      <c r="A4" s="14" t="s">
        <v>397</v>
      </c>
      <c r="B4" s="15" t="n">
        <f aca="false">COUNTA(Matriz_E2E!A9:A81)</f>
        <v>73</v>
      </c>
    </row>
    <row r="5" customFormat="false" ht="15" hidden="false" customHeight="true" outlineLevel="0" collapsed="false">
      <c r="A5" s="14" t="s">
        <v>398</v>
      </c>
      <c r="B5" s="15" t="n">
        <f aca="false">COUNTIF(Matriz_E2E!$O$9:$O$81,"Completa")</f>
        <v>73</v>
      </c>
    </row>
    <row r="6" customFormat="false" ht="15" hidden="false" customHeight="true" outlineLevel="0" collapsed="false">
      <c r="A6" s="14" t="s">
        <v>399</v>
      </c>
      <c r="B6" s="15" t="n">
        <f aca="false">COUNTIF(Matriz_E2E!$O$9:$O$81,"Parcial")</f>
        <v>0</v>
      </c>
    </row>
    <row r="7" customFormat="false" ht="15" hidden="false" customHeight="true" outlineLevel="0" collapsed="false">
      <c r="A7" s="14" t="s">
        <v>400</v>
      </c>
      <c r="B7" s="15" t="n">
        <f aca="false">COUNTIF(Matriz_E2E!$O$9:$O$81,"Huérfana")</f>
        <v>0</v>
      </c>
    </row>
    <row r="8" customFormat="false" ht="15" hidden="false" customHeight="true" outlineLevel="0" collapsed="false">
      <c r="A8" s="14" t="s">
        <v>401</v>
      </c>
      <c r="B8" s="16" t="n">
        <f aca="false">IFERROR(B5/B4,0)</f>
        <v>1</v>
      </c>
    </row>
    <row r="9" customFormat="false" ht="15" hidden="false" customHeight="true" outlineLevel="0" collapsed="false">
      <c r="A9" s="14" t="s">
        <v>402</v>
      </c>
      <c r="B9" s="15" t="n">
        <f aca="false">COUNTA(Matriz_E2E!K9:K81)-COUNTIF(Matriz_E2E!K9:K81,"No aplica")</f>
        <v>26</v>
      </c>
    </row>
    <row r="10" customFormat="false" ht="15" hidden="false" customHeight="true" outlineLevel="0" collapsed="false">
      <c r="A10" s="14" t="s">
        <v>403</v>
      </c>
      <c r="B10" s="15" t="n">
        <f aca="false">COUNTA(Matriz_E2E!M9:M81)-COUNTIF(Matriz_E2E!M9:M81,"—")-COUNTIF(Matriz_E2E!M9:M81,"No aplica (restricción)")</f>
        <v>71</v>
      </c>
    </row>
    <row r="11" customFormat="false" ht="15" hidden="false" customHeight="true" outlineLevel="0" collapsed="false">
      <c r="A11" s="14" t="s">
        <v>404</v>
      </c>
      <c r="B11" s="15" t="n">
        <f aca="false">COUNTIF(Matriz_E2E!L9:L81,"—")</f>
        <v>1</v>
      </c>
    </row>
    <row r="13" customFormat="false" ht="15" hidden="false" customHeight="true" outlineLevel="0" collapsed="false">
      <c r="A13" s="17" t="s">
        <v>405</v>
      </c>
    </row>
    <row r="14" customFormat="false" ht="15" hidden="false" customHeight="true" outlineLevel="0" collapsed="false">
      <c r="A14" s="18" t="s">
        <v>406</v>
      </c>
      <c r="B14" s="18" t="s">
        <v>407</v>
      </c>
      <c r="C14" s="18" t="s">
        <v>408</v>
      </c>
    </row>
    <row r="15" customFormat="false" ht="21.75" hidden="false" customHeight="true" outlineLevel="0" collapsed="false">
      <c r="A15" s="8" t="s">
        <v>409</v>
      </c>
      <c r="B15" s="8" t="s">
        <v>410</v>
      </c>
      <c r="C15" s="8" t="s">
        <v>411</v>
      </c>
    </row>
    <row r="16" customFormat="false" ht="32.25" hidden="false" customHeight="true" outlineLevel="0" collapsed="false">
      <c r="A16" s="8" t="s">
        <v>412</v>
      </c>
      <c r="B16" s="8" t="s">
        <v>413</v>
      </c>
      <c r="C16" s="8" t="s">
        <v>414</v>
      </c>
    </row>
    <row r="17" customFormat="false" ht="32.25" hidden="false" customHeight="true" outlineLevel="0" collapsed="false">
      <c r="A17" s="8" t="s">
        <v>415</v>
      </c>
      <c r="B17" s="8" t="s">
        <v>416</v>
      </c>
      <c r="C17" s="8" t="s">
        <v>417</v>
      </c>
    </row>
    <row r="18" customFormat="false" ht="32.25" hidden="false" customHeight="true" outlineLevel="0" collapsed="false">
      <c r="A18" s="8" t="s">
        <v>418</v>
      </c>
      <c r="B18" s="8" t="s">
        <v>419</v>
      </c>
      <c r="C18" s="8" t="s">
        <v>420</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7" min="6" style="1" width="12"/>
    <col collapsed="false" customWidth="true" hidden="false" outlineLevel="0" max="8" min="8" style="1" width="60"/>
  </cols>
  <sheetData>
    <row r="1" customFormat="false" ht="15" hidden="false" customHeight="true" outlineLevel="0" collapsed="false">
      <c r="A1" s="12" t="s">
        <v>421</v>
      </c>
    </row>
    <row r="2" customFormat="false" ht="42.75" hidden="false" customHeight="true" outlineLevel="0" collapsed="false">
      <c r="A2" s="19" t="s">
        <v>422</v>
      </c>
      <c r="B2" s="5"/>
      <c r="C2" s="5"/>
      <c r="D2" s="5"/>
      <c r="E2" s="5"/>
    </row>
    <row r="6" customFormat="false" ht="30" hidden="false" customHeight="true" outlineLevel="0" collapsed="false">
      <c r="A6" s="20" t="s">
        <v>406</v>
      </c>
      <c r="B6" s="20" t="s">
        <v>423</v>
      </c>
      <c r="C6" s="20" t="s">
        <v>424</v>
      </c>
      <c r="D6" s="20" t="s">
        <v>425</v>
      </c>
      <c r="E6" s="20" t="s">
        <v>426</v>
      </c>
      <c r="F6" s="21" t="s">
        <v>427</v>
      </c>
      <c r="G6" s="21" t="s">
        <v>428</v>
      </c>
    </row>
    <row r="7" customFormat="false" ht="15" hidden="false" customHeight="true" outlineLevel="0" collapsed="false">
      <c r="A7" s="22" t="s">
        <v>429</v>
      </c>
      <c r="B7" s="23" t="n">
        <v>10</v>
      </c>
      <c r="C7" s="23" t="n">
        <v>7</v>
      </c>
      <c r="D7" s="23" t="n">
        <f aca="false">B7-C7</f>
        <v>3</v>
      </c>
      <c r="E7" s="23" t="n">
        <v>10</v>
      </c>
      <c r="F7" s="24" t="n">
        <f aca="false">MAX(0,B7-E7)</f>
        <v>0</v>
      </c>
      <c r="G7" s="24" t="str">
        <f aca="false">IF(F7=0,"Cerrado","Pendiente")</f>
        <v>Cerrado</v>
      </c>
      <c r="H7" s="19" t="s">
        <v>430</v>
      </c>
    </row>
    <row r="8" customFormat="false" ht="21.75" hidden="false" customHeight="true" outlineLevel="0" collapsed="false">
      <c r="A8" s="22" t="s">
        <v>431</v>
      </c>
      <c r="B8" s="23" t="n">
        <v>79</v>
      </c>
      <c r="C8" s="23" t="n">
        <v>39</v>
      </c>
      <c r="D8" s="23" t="n">
        <f aca="false">B8-C8</f>
        <v>40</v>
      </c>
      <c r="E8" s="23" t="n">
        <v>79</v>
      </c>
      <c r="F8" s="24" t="n">
        <f aca="false">MAX(0,B8-E8)</f>
        <v>0</v>
      </c>
      <c r="G8" s="24" t="str">
        <f aca="false">IF(F8=0,"Cerrado","Pendiente")</f>
        <v>Cerrado</v>
      </c>
      <c r="H8" s="19" t="s">
        <v>432</v>
      </c>
    </row>
    <row r="9" customFormat="false" ht="21.75" hidden="false" customHeight="true" outlineLevel="0" collapsed="false">
      <c r="A9" s="22" t="s">
        <v>433</v>
      </c>
      <c r="B9" s="23" t="n">
        <v>79</v>
      </c>
      <c r="C9" s="23" t="n">
        <v>38</v>
      </c>
      <c r="D9" s="23" t="n">
        <f aca="false">B9-C9</f>
        <v>41</v>
      </c>
      <c r="E9" s="23" t="n">
        <v>86</v>
      </c>
      <c r="F9" s="24" t="n">
        <f aca="false">MAX(0,B9-E9)</f>
        <v>0</v>
      </c>
      <c r="G9" s="24" t="str">
        <f aca="false">IF(F9=0,"Cerrado","Pendiente")</f>
        <v>Cerrado</v>
      </c>
      <c r="H9" s="19" t="s">
        <v>434</v>
      </c>
    </row>
    <row r="10" customFormat="false" ht="15" hidden="false" customHeight="true" outlineLevel="0" collapsed="false">
      <c r="A10" s="22" t="s">
        <v>435</v>
      </c>
      <c r="B10" s="23" t="n">
        <v>24</v>
      </c>
      <c r="C10" s="23" t="n">
        <v>19</v>
      </c>
      <c r="D10" s="23" t="n">
        <f aca="false">B10-C10</f>
        <v>5</v>
      </c>
      <c r="E10" s="23" t="n">
        <v>24</v>
      </c>
      <c r="F10" s="24" t="n">
        <f aca="false">MAX(0,B10-E10)</f>
        <v>0</v>
      </c>
      <c r="G10" s="24" t="str">
        <f aca="false">IF(F10=0,"Cerrado","Pendiente")</f>
        <v>Cerrado</v>
      </c>
      <c r="H10" s="19" t="s">
        <v>436</v>
      </c>
    </row>
    <row r="11" customFormat="false" ht="15" hidden="false" customHeight="true" outlineLevel="0" collapsed="false">
      <c r="A11" s="22" t="s">
        <v>437</v>
      </c>
      <c r="B11" s="23" t="n">
        <v>73</v>
      </c>
      <c r="C11" s="23" t="n">
        <v>52</v>
      </c>
      <c r="D11" s="23" t="n">
        <f aca="false">B11-C11</f>
        <v>21</v>
      </c>
      <c r="E11" s="23" t="n">
        <v>73</v>
      </c>
      <c r="F11" s="24" t="n">
        <f aca="false">MAX(0,B11-E11)</f>
        <v>0</v>
      </c>
      <c r="G11" s="24" t="str">
        <f aca="false">IF(F11=0,"Cerrado","Pendiente")</f>
        <v>Cerrado</v>
      </c>
      <c r="H11" s="19" t="s">
        <v>438</v>
      </c>
    </row>
    <row r="13" customFormat="false" ht="15" hidden="false" customHeight="true" outlineLevel="0" collapsed="false">
      <c r="A13" s="25" t="s">
        <v>439</v>
      </c>
      <c r="B13" s="26" t="n">
        <v>0.671</v>
      </c>
      <c r="H13" s="27" t="s">
        <v>440</v>
      </c>
    </row>
    <row r="14" customFormat="false" ht="18.75" hidden="false" customHeight="true" outlineLevel="0" collapsed="false">
      <c r="A14" s="25" t="s">
        <v>441</v>
      </c>
      <c r="B14" s="16" t="n">
        <f aca="false">1-SUM(D7:D11)/SUM(B7:B11)</f>
        <v>0.584905660377359</v>
      </c>
      <c r="E14" s="28"/>
      <c r="H14" s="27" t="s">
        <v>442</v>
      </c>
    </row>
    <row r="15" customFormat="false" ht="18.75" hidden="false" customHeight="true" outlineLevel="0" collapsed="false">
      <c r="A15" s="25" t="s">
        <v>443</v>
      </c>
      <c r="B15" s="29" t="n">
        <f aca="false">1-SUM(F7:F11)/SUM(B7:B11)</f>
        <v>1</v>
      </c>
      <c r="H15" s="27" t="s">
        <v>444</v>
      </c>
    </row>
    <row r="16" customFormat="false" ht="15" hidden="false" customHeight="true" outlineLevel="0" collapsed="false">
      <c r="A16" s="5"/>
      <c r="B16" s="5"/>
      <c r="C16" s="5"/>
      <c r="D16" s="5"/>
      <c r="E16" s="5"/>
      <c r="F16" s="5"/>
      <c r="G16" s="5"/>
      <c r="H16" s="5"/>
    </row>
    <row r="17" customFormat="false" ht="15" hidden="false" customHeight="true" outlineLevel="0" collapsed="false">
      <c r="A17" s="5"/>
      <c r="B17" s="5"/>
      <c r="C17" s="5"/>
      <c r="D17" s="5"/>
      <c r="E17" s="5"/>
      <c r="F17" s="5"/>
      <c r="G17" s="5"/>
      <c r="H17" s="5"/>
    </row>
    <row r="18" customFormat="false" ht="15" hidden="false" customHeight="true" outlineLevel="0" collapsed="false">
      <c r="A18" s="5"/>
      <c r="B18" s="5"/>
      <c r="C18" s="5"/>
      <c r="D18" s="5"/>
      <c r="E18" s="5"/>
      <c r="F18" s="5"/>
      <c r="G18" s="5"/>
      <c r="H18" s="5"/>
    </row>
  </sheetData>
  <mergeCells count="2">
    <mergeCell ref="B2:E2"/>
    <mergeCell ref="A16: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24"/>
    <col collapsed="false" customWidth="true" hidden="false" outlineLevel="0" max="4" min="4" style="1" width="46"/>
    <col collapsed="false" customWidth="true" hidden="false" outlineLevel="0" max="5" min="5" style="1" width="8"/>
    <col collapsed="false" customWidth="true" hidden="false" outlineLevel="0" max="6" min="6" style="1" width="30"/>
  </cols>
  <sheetData>
    <row r="1" customFormat="false" ht="15.75" hidden="false" customHeight="true" outlineLevel="0" collapsed="false">
      <c r="A1" s="30" t="s">
        <v>445</v>
      </c>
    </row>
    <row r="2" customFormat="false" ht="43.5" hidden="false" customHeight="true" outlineLevel="0" collapsed="false">
      <c r="A2" s="31" t="s">
        <v>446</v>
      </c>
      <c r="B2" s="31"/>
      <c r="C2" s="31"/>
      <c r="D2" s="31"/>
      <c r="E2" s="31"/>
      <c r="F2" s="31"/>
    </row>
    <row r="4" customFormat="false" ht="27.75" hidden="false" customHeight="true" outlineLevel="0" collapsed="false">
      <c r="A4" s="32" t="s">
        <v>7</v>
      </c>
      <c r="B4" s="32" t="s">
        <v>447</v>
      </c>
      <c r="C4" s="32" t="s">
        <v>448</v>
      </c>
      <c r="D4" s="32" t="s">
        <v>449</v>
      </c>
      <c r="E4" s="32" t="s">
        <v>450</v>
      </c>
      <c r="F4" s="32" t="s">
        <v>451</v>
      </c>
    </row>
    <row r="5" customFormat="false" ht="30" hidden="false" customHeight="true" outlineLevel="0" collapsed="false">
      <c r="A5" s="1" t="s">
        <v>22</v>
      </c>
      <c r="B5" s="1" t="s">
        <v>32</v>
      </c>
      <c r="C5" s="1" t="s">
        <v>33</v>
      </c>
      <c r="D5" s="33" t="s">
        <v>452</v>
      </c>
      <c r="E5" s="1" t="s">
        <v>453</v>
      </c>
      <c r="F5" s="33" t="s">
        <v>452</v>
      </c>
    </row>
    <row r="6" customFormat="false" ht="30" hidden="false" customHeight="true" outlineLevel="0" collapsed="false">
      <c r="A6" s="1" t="s">
        <v>36</v>
      </c>
      <c r="B6" s="1" t="s">
        <v>41</v>
      </c>
      <c r="C6" s="1" t="s">
        <v>33</v>
      </c>
      <c r="D6" s="33" t="s">
        <v>452</v>
      </c>
      <c r="E6" s="1" t="s">
        <v>454</v>
      </c>
      <c r="F6" s="33" t="s">
        <v>452</v>
      </c>
    </row>
    <row r="7" customFormat="false" ht="30" hidden="false" customHeight="true" outlineLevel="0" collapsed="false">
      <c r="A7" s="1" t="s">
        <v>44</v>
      </c>
      <c r="B7" s="1" t="s">
        <v>49</v>
      </c>
      <c r="C7" s="1" t="s">
        <v>33</v>
      </c>
      <c r="D7" s="33" t="s">
        <v>452</v>
      </c>
      <c r="E7" s="1" t="s">
        <v>454</v>
      </c>
      <c r="F7" s="33" t="s">
        <v>452</v>
      </c>
    </row>
    <row r="8" customFormat="false" ht="30" hidden="false" customHeight="true" outlineLevel="0" collapsed="false">
      <c r="A8" s="1" t="s">
        <v>53</v>
      </c>
      <c r="B8" s="1" t="s">
        <v>60</v>
      </c>
      <c r="C8" s="1" t="s">
        <v>33</v>
      </c>
      <c r="D8" s="33" t="s">
        <v>452</v>
      </c>
      <c r="E8" s="1" t="s">
        <v>454</v>
      </c>
      <c r="F8" s="33" t="s">
        <v>452</v>
      </c>
    </row>
    <row r="9" customFormat="false" ht="30" hidden="false" customHeight="true" outlineLevel="0" collapsed="false">
      <c r="A9" s="34" t="s">
        <v>65</v>
      </c>
      <c r="B9" s="34" t="s">
        <v>70</v>
      </c>
      <c r="C9" s="34" t="s">
        <v>33</v>
      </c>
      <c r="D9" s="35" t="s">
        <v>455</v>
      </c>
      <c r="E9" s="34" t="s">
        <v>454</v>
      </c>
      <c r="F9" s="35" t="s">
        <v>456</v>
      </c>
    </row>
    <row r="10" customFormat="false" ht="30" hidden="false" customHeight="true" outlineLevel="0" collapsed="false">
      <c r="A10" s="1" t="s">
        <v>80</v>
      </c>
      <c r="B10" s="1" t="s">
        <v>88</v>
      </c>
      <c r="C10" s="1" t="s">
        <v>33</v>
      </c>
      <c r="D10" s="33" t="s">
        <v>452</v>
      </c>
      <c r="E10" s="1" t="s">
        <v>454</v>
      </c>
      <c r="F10" s="33" t="s">
        <v>452</v>
      </c>
    </row>
    <row r="11" customFormat="false" ht="30" hidden="false" customHeight="true" outlineLevel="0" collapsed="false">
      <c r="A11" s="1" t="s">
        <v>94</v>
      </c>
      <c r="B11" s="1" t="s">
        <v>98</v>
      </c>
      <c r="C11" s="1" t="s">
        <v>33</v>
      </c>
      <c r="D11" s="33" t="s">
        <v>452</v>
      </c>
      <c r="E11" s="1" t="s">
        <v>454</v>
      </c>
      <c r="F11" s="33" t="s">
        <v>452</v>
      </c>
    </row>
    <row r="12" customFormat="false" ht="30" hidden="false" customHeight="true" outlineLevel="0" collapsed="false">
      <c r="A12" s="34" t="s">
        <v>107</v>
      </c>
      <c r="B12" s="34" t="s">
        <v>110</v>
      </c>
      <c r="C12" s="34" t="s">
        <v>33</v>
      </c>
      <c r="D12" s="35" t="s">
        <v>457</v>
      </c>
      <c r="E12" s="34" t="s">
        <v>454</v>
      </c>
      <c r="F12" s="35" t="s">
        <v>456</v>
      </c>
    </row>
    <row r="13" customFormat="false" ht="30" hidden="false" customHeight="true" outlineLevel="0" collapsed="false">
      <c r="A13" s="1" t="s">
        <v>116</v>
      </c>
      <c r="B13" s="1" t="s">
        <v>122</v>
      </c>
      <c r="C13" s="1" t="s">
        <v>33</v>
      </c>
      <c r="D13" s="33" t="s">
        <v>452</v>
      </c>
      <c r="E13" s="1" t="s">
        <v>454</v>
      </c>
      <c r="F13" s="33" t="s">
        <v>452</v>
      </c>
    </row>
    <row r="14" customFormat="false" ht="30" hidden="false" customHeight="true" outlineLevel="0" collapsed="false">
      <c r="A14" s="1" t="s">
        <v>128</v>
      </c>
      <c r="B14" s="1" t="s">
        <v>135</v>
      </c>
      <c r="C14" s="1" t="s">
        <v>33</v>
      </c>
      <c r="D14" s="33" t="s">
        <v>452</v>
      </c>
      <c r="E14" s="1" t="s">
        <v>454</v>
      </c>
      <c r="F14" s="33" t="s">
        <v>452</v>
      </c>
    </row>
    <row r="15" customFormat="false" ht="30" hidden="false" customHeight="true" outlineLevel="0" collapsed="false">
      <c r="A15" s="1" t="s">
        <v>137</v>
      </c>
      <c r="B15" s="1" t="s">
        <v>141</v>
      </c>
      <c r="C15" s="1" t="s">
        <v>33</v>
      </c>
      <c r="D15" s="33" t="s">
        <v>452</v>
      </c>
      <c r="E15" s="1" t="s">
        <v>454</v>
      </c>
      <c r="F15" s="33" t="s">
        <v>452</v>
      </c>
    </row>
    <row r="16" customFormat="false" ht="30" hidden="false" customHeight="true" outlineLevel="0" collapsed="false">
      <c r="A16" s="1" t="s">
        <v>158</v>
      </c>
      <c r="B16" s="1" t="s">
        <v>164</v>
      </c>
      <c r="C16" s="1" t="s">
        <v>33</v>
      </c>
      <c r="D16" s="33" t="s">
        <v>452</v>
      </c>
      <c r="E16" s="1" t="s">
        <v>454</v>
      </c>
      <c r="F16" s="33" t="s">
        <v>452</v>
      </c>
    </row>
    <row r="17" customFormat="false" ht="30" hidden="false" customHeight="true" outlineLevel="0" collapsed="false">
      <c r="A17" s="1" t="s">
        <v>166</v>
      </c>
      <c r="B17" s="1" t="s">
        <v>169</v>
      </c>
      <c r="C17" s="1" t="s">
        <v>33</v>
      </c>
      <c r="D17" s="33" t="s">
        <v>452</v>
      </c>
      <c r="E17" s="1" t="s">
        <v>454</v>
      </c>
      <c r="F17" s="33" t="s">
        <v>452</v>
      </c>
    </row>
    <row r="18" customFormat="false" ht="30" hidden="false" customHeight="true" outlineLevel="0" collapsed="false">
      <c r="A18" s="1" t="s">
        <v>176</v>
      </c>
      <c r="B18" s="1" t="s">
        <v>181</v>
      </c>
      <c r="C18" s="1" t="s">
        <v>33</v>
      </c>
      <c r="D18" s="33" t="s">
        <v>452</v>
      </c>
      <c r="E18" s="1" t="s">
        <v>454</v>
      </c>
      <c r="F18" s="33" t="s">
        <v>452</v>
      </c>
    </row>
    <row r="19" customFormat="false" ht="30" hidden="false" customHeight="true" outlineLevel="0" collapsed="false">
      <c r="A19" s="1" t="s">
        <v>186</v>
      </c>
      <c r="B19" s="1" t="s">
        <v>192</v>
      </c>
      <c r="C19" s="1" t="s">
        <v>33</v>
      </c>
      <c r="D19" s="33" t="s">
        <v>452</v>
      </c>
      <c r="E19" s="1" t="s">
        <v>453</v>
      </c>
      <c r="F19" s="33" t="s">
        <v>452</v>
      </c>
    </row>
    <row r="20" customFormat="false" ht="30" hidden="false" customHeight="true" outlineLevel="0" collapsed="false">
      <c r="A20" s="1" t="s">
        <v>210</v>
      </c>
      <c r="B20" s="1" t="s">
        <v>217</v>
      </c>
      <c r="C20" s="1" t="s">
        <v>33</v>
      </c>
      <c r="D20" s="33" t="s">
        <v>452</v>
      </c>
      <c r="E20" s="1" t="s">
        <v>454</v>
      </c>
      <c r="F20" s="33" t="s">
        <v>452</v>
      </c>
    </row>
    <row r="21" customFormat="false" ht="30" hidden="false" customHeight="true" outlineLevel="0" collapsed="false">
      <c r="A21" s="1" t="s">
        <v>224</v>
      </c>
      <c r="B21" s="1" t="s">
        <v>227</v>
      </c>
      <c r="C21" s="1" t="s">
        <v>33</v>
      </c>
      <c r="D21" s="33" t="s">
        <v>452</v>
      </c>
      <c r="E21" s="1" t="s">
        <v>454</v>
      </c>
      <c r="F21" s="33" t="s">
        <v>452</v>
      </c>
    </row>
    <row r="22" customFormat="false" ht="30" hidden="false" customHeight="true" outlineLevel="0" collapsed="false">
      <c r="A22" s="34" t="s">
        <v>235</v>
      </c>
      <c r="B22" s="34" t="s">
        <v>239</v>
      </c>
      <c r="C22" s="34" t="s">
        <v>33</v>
      </c>
      <c r="D22" s="35" t="s">
        <v>458</v>
      </c>
      <c r="E22" s="34" t="s">
        <v>454</v>
      </c>
      <c r="F22" s="35" t="s">
        <v>456</v>
      </c>
    </row>
    <row r="23" customFormat="false" ht="30" hidden="false" customHeight="true" outlineLevel="0" collapsed="false">
      <c r="A23" s="1" t="s">
        <v>261</v>
      </c>
      <c r="B23" s="1" t="s">
        <v>264</v>
      </c>
      <c r="C23" s="1" t="s">
        <v>33</v>
      </c>
      <c r="D23" s="33" t="s">
        <v>452</v>
      </c>
      <c r="E23" s="1" t="s">
        <v>454</v>
      </c>
      <c r="F23" s="33" t="s">
        <v>452</v>
      </c>
    </row>
    <row r="24" customFormat="false" ht="30" hidden="false" customHeight="true" outlineLevel="0" collapsed="false">
      <c r="A24" s="1" t="s">
        <v>306</v>
      </c>
      <c r="B24" s="1" t="s">
        <v>309</v>
      </c>
      <c r="C24" s="1" t="s">
        <v>33</v>
      </c>
      <c r="D24" s="33" t="s">
        <v>452</v>
      </c>
      <c r="E24" s="1" t="s">
        <v>454</v>
      </c>
      <c r="F24" s="33" t="s">
        <v>452</v>
      </c>
    </row>
    <row r="25" customFormat="false" ht="30" hidden="false" customHeight="true" outlineLevel="0" collapsed="false">
      <c r="A25" s="1" t="s">
        <v>312</v>
      </c>
      <c r="B25" s="1" t="s">
        <v>315</v>
      </c>
      <c r="C25" s="1" t="s">
        <v>33</v>
      </c>
      <c r="D25" s="33" t="s">
        <v>452</v>
      </c>
      <c r="E25" s="1" t="s">
        <v>454</v>
      </c>
      <c r="F25" s="33" t="s">
        <v>452</v>
      </c>
    </row>
    <row r="26" customFormat="false" ht="30" hidden="false" customHeight="true" outlineLevel="0" collapsed="false">
      <c r="A26" s="1" t="s">
        <v>326</v>
      </c>
      <c r="B26" s="1" t="s">
        <v>329</v>
      </c>
      <c r="C26" s="1" t="s">
        <v>33</v>
      </c>
      <c r="D26" s="33" t="s">
        <v>452</v>
      </c>
      <c r="E26" s="1" t="s">
        <v>453</v>
      </c>
      <c r="F26" s="33" t="s">
        <v>452</v>
      </c>
    </row>
    <row r="27" customFormat="false" ht="30" hidden="false" customHeight="true" outlineLevel="0" collapsed="false">
      <c r="A27" s="1" t="s">
        <v>332</v>
      </c>
      <c r="B27" s="1" t="s">
        <v>335</v>
      </c>
      <c r="C27" s="1" t="s">
        <v>33</v>
      </c>
      <c r="D27" s="33" t="s">
        <v>452</v>
      </c>
      <c r="E27" s="1" t="s">
        <v>453</v>
      </c>
      <c r="F27" s="33" t="s">
        <v>452</v>
      </c>
    </row>
    <row r="28" customFormat="false" ht="30" hidden="false" customHeight="true" outlineLevel="0" collapsed="false">
      <c r="A28" s="34" t="s">
        <v>338</v>
      </c>
      <c r="B28" s="34" t="s">
        <v>341</v>
      </c>
      <c r="C28" s="34" t="s">
        <v>33</v>
      </c>
      <c r="D28" s="35" t="s">
        <v>459</v>
      </c>
      <c r="E28" s="34" t="s">
        <v>453</v>
      </c>
      <c r="F28" s="35" t="s">
        <v>456</v>
      </c>
    </row>
    <row r="30" customFormat="false" ht="15" hidden="false" customHeight="true" outlineLevel="0" collapsed="false">
      <c r="A30" s="36" t="s">
        <v>460</v>
      </c>
    </row>
    <row r="31" customFormat="false" ht="15" hidden="false" customHeight="true" outlineLevel="0" collapsed="false">
      <c r="A31" s="1" t="s">
        <v>461</v>
      </c>
    </row>
    <row r="32" customFormat="false" ht="15" hidden="false" customHeight="true" outlineLevel="0" collapsed="false">
      <c r="A32" s="1" t="s">
        <v>462</v>
      </c>
    </row>
    <row r="33" customFormat="false" ht="15" hidden="false" customHeight="true" outlineLevel="0" collapsed="false">
      <c r="A33" s="1" t="s">
        <v>463</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2026-08-17T14:31:09Z</dcterms:created>
  <dc:creator>openpyxl</dc:creator>
  <dc:description/>
  <dc:language>en-US</dc:language>
  <cp:lastModifiedBy/>
  <dcterms:modified xsi:type="dcterms:W3CDTF">2026-09-22T04:48:13Z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